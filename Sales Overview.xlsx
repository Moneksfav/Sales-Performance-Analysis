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526A5FA9-2332-488B-9F30-9BEC3454236F}" xr6:coauthVersionLast="47" xr6:coauthVersionMax="47" xr10:uidLastSave="{00000000-0000-0000-0000-000000000000}"/>
  <bookViews>
    <workbookView xWindow="-120" yWindow="-120" windowWidth="20730" windowHeight="11040" xr2:uid="{0B2ACC04-2BC7-4D94-B4E6-7D47776226D0}"/>
  </bookViews>
  <sheets>
    <sheet name="Sales data" sheetId="1" r:id="rId1"/>
    <sheet name="Calculations" sheetId="2" r:id="rId2"/>
    <sheet name="Dashboard" sheetId="5" r:id="rId3"/>
  </sheets>
  <definedNames>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01" i="1" l="1"/>
  <c r="O1001" i="1"/>
  <c r="Q1001" i="1" s="1"/>
  <c r="P1000" i="1"/>
  <c r="O1000" i="1"/>
  <c r="Q999" i="1"/>
  <c r="P999" i="1"/>
  <c r="O999" i="1"/>
  <c r="P998" i="1"/>
  <c r="O998" i="1"/>
  <c r="Q998" i="1" s="1"/>
  <c r="P997" i="1"/>
  <c r="O997" i="1"/>
  <c r="Q997" i="1" s="1"/>
  <c r="P996" i="1"/>
  <c r="O996" i="1"/>
  <c r="P995" i="1"/>
  <c r="O995" i="1"/>
  <c r="P994" i="1"/>
  <c r="O994" i="1"/>
  <c r="Q994" i="1" s="1"/>
  <c r="P993" i="1"/>
  <c r="O993" i="1"/>
  <c r="Q992" i="1"/>
  <c r="P992" i="1"/>
  <c r="O992" i="1"/>
  <c r="P991" i="1"/>
  <c r="O991" i="1"/>
  <c r="Q991" i="1" s="1"/>
  <c r="P990" i="1"/>
  <c r="Q990" i="1" s="1"/>
  <c r="O990" i="1"/>
  <c r="P989" i="1"/>
  <c r="O989" i="1"/>
  <c r="P988" i="1"/>
  <c r="O988" i="1"/>
  <c r="P987" i="1"/>
  <c r="O987" i="1"/>
  <c r="Q987" i="1" s="1"/>
  <c r="P986" i="1"/>
  <c r="O986" i="1"/>
  <c r="P985" i="1"/>
  <c r="O985" i="1"/>
  <c r="P984" i="1"/>
  <c r="O984" i="1"/>
  <c r="Q984" i="1" s="1"/>
  <c r="P983" i="1"/>
  <c r="O983" i="1"/>
  <c r="P982" i="1"/>
  <c r="O982" i="1"/>
  <c r="Q982" i="1" s="1"/>
  <c r="P981" i="1"/>
  <c r="O981" i="1"/>
  <c r="P980" i="1"/>
  <c r="O980" i="1"/>
  <c r="Q979" i="1"/>
  <c r="P979" i="1"/>
  <c r="O979" i="1"/>
  <c r="P978" i="1"/>
  <c r="O978" i="1"/>
  <c r="P977" i="1"/>
  <c r="O977" i="1"/>
  <c r="P976" i="1"/>
  <c r="O976" i="1"/>
  <c r="Q976" i="1" s="1"/>
  <c r="P975" i="1"/>
  <c r="O975" i="1"/>
  <c r="Q975" i="1" s="1"/>
  <c r="P974" i="1"/>
  <c r="Q974" i="1" s="1"/>
  <c r="O974" i="1"/>
  <c r="P973" i="1"/>
  <c r="O973" i="1"/>
  <c r="P972" i="1"/>
  <c r="O972" i="1"/>
  <c r="Q972" i="1" s="1"/>
  <c r="P971" i="1"/>
  <c r="O971" i="1"/>
  <c r="Q971" i="1" s="1"/>
  <c r="P970" i="1"/>
  <c r="O970" i="1"/>
  <c r="P969" i="1"/>
  <c r="O969" i="1"/>
  <c r="P968" i="1"/>
  <c r="O968" i="1"/>
  <c r="Q968" i="1" s="1"/>
  <c r="P967" i="1"/>
  <c r="Q967" i="1" s="1"/>
  <c r="O967" i="1"/>
  <c r="P966" i="1"/>
  <c r="O966" i="1"/>
  <c r="P965" i="1"/>
  <c r="O965" i="1"/>
  <c r="Q965" i="1" s="1"/>
  <c r="P964" i="1"/>
  <c r="O964" i="1"/>
  <c r="Q963" i="1"/>
  <c r="P963" i="1"/>
  <c r="O963" i="1"/>
  <c r="P962" i="1"/>
  <c r="O962" i="1"/>
  <c r="Q962" i="1" s="1"/>
  <c r="P961" i="1"/>
  <c r="O961" i="1"/>
  <c r="Q960" i="1"/>
  <c r="P960" i="1"/>
  <c r="O960" i="1"/>
  <c r="P959" i="1"/>
  <c r="O959" i="1"/>
  <c r="P958" i="1"/>
  <c r="O958" i="1"/>
  <c r="P957" i="1"/>
  <c r="O957" i="1"/>
  <c r="P956" i="1"/>
  <c r="O956" i="1"/>
  <c r="P955" i="1"/>
  <c r="O955" i="1"/>
  <c r="P954" i="1"/>
  <c r="O954" i="1"/>
  <c r="P953" i="1"/>
  <c r="O953" i="1"/>
  <c r="P952" i="1"/>
  <c r="O952" i="1"/>
  <c r="P951" i="1"/>
  <c r="O951" i="1"/>
  <c r="Q951" i="1" s="1"/>
  <c r="P950" i="1"/>
  <c r="O950" i="1"/>
  <c r="Q950" i="1" s="1"/>
  <c r="P949" i="1"/>
  <c r="O949" i="1"/>
  <c r="P948" i="1"/>
  <c r="O948" i="1"/>
  <c r="P947" i="1"/>
  <c r="O947" i="1"/>
  <c r="Q947" i="1" s="1"/>
  <c r="P946" i="1"/>
  <c r="O946" i="1"/>
  <c r="P945" i="1"/>
  <c r="O945" i="1"/>
  <c r="P944" i="1"/>
  <c r="O944" i="1"/>
  <c r="Q944" i="1" s="1"/>
  <c r="P943" i="1"/>
  <c r="O943" i="1"/>
  <c r="P942" i="1"/>
  <c r="Q942" i="1" s="1"/>
  <c r="O942" i="1"/>
  <c r="P941" i="1"/>
  <c r="O941" i="1"/>
  <c r="P940" i="1"/>
  <c r="O940" i="1"/>
  <c r="Q940" i="1" s="1"/>
  <c r="P939" i="1"/>
  <c r="O939" i="1"/>
  <c r="P938" i="1"/>
  <c r="O938" i="1"/>
  <c r="P937" i="1"/>
  <c r="O937" i="1"/>
  <c r="P936" i="1"/>
  <c r="O936" i="1"/>
  <c r="Q936" i="1" s="1"/>
  <c r="Q935" i="1"/>
  <c r="P935" i="1"/>
  <c r="O935" i="1"/>
  <c r="P934" i="1"/>
  <c r="O934" i="1"/>
  <c r="P933" i="1"/>
  <c r="O933" i="1"/>
  <c r="P932" i="1"/>
  <c r="O932" i="1"/>
  <c r="Q931" i="1"/>
  <c r="P931" i="1"/>
  <c r="O931" i="1"/>
  <c r="P930" i="1"/>
  <c r="O930" i="1"/>
  <c r="P929" i="1"/>
  <c r="O929" i="1"/>
  <c r="Q928" i="1"/>
  <c r="P928" i="1"/>
  <c r="O928" i="1"/>
  <c r="P927" i="1"/>
  <c r="O927" i="1"/>
  <c r="P926" i="1"/>
  <c r="Q926" i="1" s="1"/>
  <c r="O926" i="1"/>
  <c r="P925" i="1"/>
  <c r="O925" i="1"/>
  <c r="Q925" i="1" s="1"/>
  <c r="P924" i="1"/>
  <c r="O924" i="1"/>
  <c r="P923" i="1"/>
  <c r="O923" i="1"/>
  <c r="P922" i="1"/>
  <c r="O922" i="1"/>
  <c r="P921" i="1"/>
  <c r="O921" i="1"/>
  <c r="P920" i="1"/>
  <c r="O920" i="1"/>
  <c r="Q919" i="1"/>
  <c r="P919" i="1"/>
  <c r="O919" i="1"/>
  <c r="P918" i="1"/>
  <c r="O918" i="1"/>
  <c r="Q918" i="1" s="1"/>
  <c r="P917" i="1"/>
  <c r="O917" i="1"/>
  <c r="P916" i="1"/>
  <c r="O916" i="1"/>
  <c r="Q915" i="1"/>
  <c r="P915" i="1"/>
  <c r="O915" i="1"/>
  <c r="P914" i="1"/>
  <c r="O914" i="1"/>
  <c r="Q914" i="1" s="1"/>
  <c r="P913" i="1"/>
  <c r="O913" i="1"/>
  <c r="Q912" i="1"/>
  <c r="P912" i="1"/>
  <c r="O912" i="1"/>
  <c r="P911" i="1"/>
  <c r="O911" i="1"/>
  <c r="Q911" i="1" s="1"/>
  <c r="P910" i="1"/>
  <c r="Q910" i="1" s="1"/>
  <c r="O910" i="1"/>
  <c r="P909" i="1"/>
  <c r="O909" i="1"/>
  <c r="P908" i="1"/>
  <c r="O908" i="1"/>
  <c r="P907" i="1"/>
  <c r="O907" i="1"/>
  <c r="Q907" i="1" s="1"/>
  <c r="P906" i="1"/>
  <c r="O906" i="1"/>
  <c r="P905" i="1"/>
  <c r="O905" i="1"/>
  <c r="P904" i="1"/>
  <c r="O904" i="1"/>
  <c r="P903" i="1"/>
  <c r="O903" i="1"/>
  <c r="Q903" i="1" s="1"/>
  <c r="P902" i="1"/>
  <c r="O902" i="1"/>
  <c r="P901" i="1"/>
  <c r="O901" i="1"/>
  <c r="P900" i="1"/>
  <c r="O900" i="1"/>
  <c r="P899" i="1"/>
  <c r="O899" i="1"/>
  <c r="Q899" i="1" s="1"/>
  <c r="P898" i="1"/>
  <c r="O898" i="1"/>
  <c r="P897" i="1"/>
  <c r="O897" i="1"/>
  <c r="P896" i="1"/>
  <c r="O896" i="1"/>
  <c r="Q896" i="1" s="1"/>
  <c r="P895" i="1"/>
  <c r="O895" i="1"/>
  <c r="P894" i="1"/>
  <c r="Q894" i="1" s="1"/>
  <c r="O894" i="1"/>
  <c r="P893" i="1"/>
  <c r="O893" i="1"/>
  <c r="P892" i="1"/>
  <c r="O892" i="1"/>
  <c r="Q892" i="1" s="1"/>
  <c r="P891" i="1"/>
  <c r="O891" i="1"/>
  <c r="P890" i="1"/>
  <c r="O890" i="1"/>
  <c r="P889" i="1"/>
  <c r="O889" i="1"/>
  <c r="P888" i="1"/>
  <c r="O888" i="1"/>
  <c r="Q888" i="1" s="1"/>
  <c r="Q887" i="1"/>
  <c r="P887" i="1"/>
  <c r="O887" i="1"/>
  <c r="P886" i="1"/>
  <c r="O886" i="1"/>
  <c r="P885" i="1"/>
  <c r="O885" i="1"/>
  <c r="Q885" i="1" s="1"/>
  <c r="P884" i="1"/>
  <c r="O884" i="1"/>
  <c r="Q883" i="1"/>
  <c r="P883" i="1"/>
  <c r="O883" i="1"/>
  <c r="P882" i="1"/>
  <c r="O882" i="1"/>
  <c r="P881" i="1"/>
  <c r="O881" i="1"/>
  <c r="Q880" i="1"/>
  <c r="P880" i="1"/>
  <c r="O880" i="1"/>
  <c r="P879" i="1"/>
  <c r="O879" i="1"/>
  <c r="P878" i="1"/>
  <c r="O878" i="1"/>
  <c r="P877" i="1"/>
  <c r="O877" i="1"/>
  <c r="P876" i="1"/>
  <c r="O876" i="1"/>
  <c r="P875" i="1"/>
  <c r="O875" i="1"/>
  <c r="P874" i="1"/>
  <c r="O874" i="1"/>
  <c r="P873" i="1"/>
  <c r="O873" i="1"/>
  <c r="P872" i="1"/>
  <c r="O872" i="1"/>
  <c r="Q871" i="1"/>
  <c r="P871" i="1"/>
  <c r="O871" i="1"/>
  <c r="P870" i="1"/>
  <c r="O870" i="1"/>
  <c r="Q870" i="1" s="1"/>
  <c r="P869" i="1"/>
  <c r="O869" i="1"/>
  <c r="P868" i="1"/>
  <c r="O868" i="1"/>
  <c r="P867" i="1"/>
  <c r="Q867" i="1" s="1"/>
  <c r="O867" i="1"/>
  <c r="P866" i="1"/>
  <c r="O866" i="1"/>
  <c r="Q866" i="1" s="1"/>
  <c r="P865" i="1"/>
  <c r="O865" i="1"/>
  <c r="Q864" i="1"/>
  <c r="P864" i="1"/>
  <c r="O864" i="1"/>
  <c r="P863" i="1"/>
  <c r="O863" i="1"/>
  <c r="Q863" i="1" s="1"/>
  <c r="P862" i="1"/>
  <c r="Q862" i="1" s="1"/>
  <c r="O862" i="1"/>
  <c r="P861" i="1"/>
  <c r="O861" i="1"/>
  <c r="P860" i="1"/>
  <c r="O860" i="1"/>
  <c r="P859" i="1"/>
  <c r="O859" i="1"/>
  <c r="Q859" i="1" s="1"/>
  <c r="P858" i="1"/>
  <c r="O858" i="1"/>
  <c r="P857" i="1"/>
  <c r="O857" i="1"/>
  <c r="P856" i="1"/>
  <c r="O856" i="1"/>
  <c r="P855" i="1"/>
  <c r="O855" i="1"/>
  <c r="Q855" i="1" s="1"/>
  <c r="P854" i="1"/>
  <c r="O854" i="1"/>
  <c r="P853" i="1"/>
  <c r="O853" i="1"/>
  <c r="P852" i="1"/>
  <c r="O852" i="1"/>
  <c r="P851" i="1"/>
  <c r="O851" i="1"/>
  <c r="Q851" i="1" s="1"/>
  <c r="P850" i="1"/>
  <c r="O850" i="1"/>
  <c r="P849" i="1"/>
  <c r="O849" i="1"/>
  <c r="P848" i="1"/>
  <c r="O848" i="1"/>
  <c r="Q848" i="1" s="1"/>
  <c r="P847" i="1"/>
  <c r="O847" i="1"/>
  <c r="P846" i="1"/>
  <c r="Q846" i="1" s="1"/>
  <c r="O846" i="1"/>
  <c r="P845" i="1"/>
  <c r="O845" i="1"/>
  <c r="P844" i="1"/>
  <c r="O844" i="1"/>
  <c r="Q844" i="1" s="1"/>
  <c r="P843" i="1"/>
  <c r="O843" i="1"/>
  <c r="P842" i="1"/>
  <c r="O842" i="1"/>
  <c r="P841" i="1"/>
  <c r="O841" i="1"/>
  <c r="P840" i="1"/>
  <c r="O840" i="1"/>
  <c r="Q840" i="1" s="1"/>
  <c r="Q839" i="1"/>
  <c r="P839" i="1"/>
  <c r="O839" i="1"/>
  <c r="P838" i="1"/>
  <c r="O838" i="1"/>
  <c r="P837" i="1"/>
  <c r="O837" i="1"/>
  <c r="Q837" i="1" s="1"/>
  <c r="P836" i="1"/>
  <c r="O836" i="1"/>
  <c r="Q835" i="1"/>
  <c r="P835" i="1"/>
  <c r="O835" i="1"/>
  <c r="P834" i="1"/>
  <c r="O834" i="1"/>
  <c r="P833" i="1"/>
  <c r="O833" i="1"/>
  <c r="Q832" i="1"/>
  <c r="P832" i="1"/>
  <c r="O832" i="1"/>
  <c r="P831" i="1"/>
  <c r="O831" i="1"/>
  <c r="P830" i="1"/>
  <c r="O830" i="1"/>
  <c r="P829" i="1"/>
  <c r="O829" i="1"/>
  <c r="Q829" i="1" s="1"/>
  <c r="P828" i="1"/>
  <c r="O828" i="1"/>
  <c r="P827" i="1"/>
  <c r="O827" i="1"/>
  <c r="P826" i="1"/>
  <c r="O826" i="1"/>
  <c r="P825" i="1"/>
  <c r="O825" i="1"/>
  <c r="P824" i="1"/>
  <c r="O824" i="1"/>
  <c r="Q823" i="1"/>
  <c r="P823" i="1"/>
  <c r="O823" i="1"/>
  <c r="P822" i="1"/>
  <c r="O822" i="1"/>
  <c r="Q822" i="1" s="1"/>
  <c r="P821" i="1"/>
  <c r="O821" i="1"/>
  <c r="P820" i="1"/>
  <c r="O820" i="1"/>
  <c r="P819" i="1"/>
  <c r="O819" i="1"/>
  <c r="Q819" i="1" s="1"/>
  <c r="P818" i="1"/>
  <c r="O818" i="1"/>
  <c r="P817" i="1"/>
  <c r="O817" i="1"/>
  <c r="Q816" i="1"/>
  <c r="P816" i="1"/>
  <c r="O816" i="1"/>
  <c r="P815" i="1"/>
  <c r="O815" i="1"/>
  <c r="Q815" i="1" s="1"/>
  <c r="P814" i="1"/>
  <c r="Q814" i="1" s="1"/>
  <c r="O814" i="1"/>
  <c r="P813" i="1"/>
  <c r="O813" i="1"/>
  <c r="P812" i="1"/>
  <c r="O812" i="1"/>
  <c r="P811" i="1"/>
  <c r="O811" i="1"/>
  <c r="Q811" i="1" s="1"/>
  <c r="P810" i="1"/>
  <c r="O810" i="1"/>
  <c r="P809" i="1"/>
  <c r="O809" i="1"/>
  <c r="P808" i="1"/>
  <c r="O808" i="1"/>
  <c r="P807" i="1"/>
  <c r="O807" i="1"/>
  <c r="P806" i="1"/>
  <c r="O806" i="1"/>
  <c r="P805" i="1"/>
  <c r="O805" i="1"/>
  <c r="P804" i="1"/>
  <c r="O804" i="1"/>
  <c r="Q803" i="1"/>
  <c r="P803" i="1"/>
  <c r="O803" i="1"/>
  <c r="P802" i="1"/>
  <c r="O802" i="1"/>
  <c r="P801" i="1"/>
  <c r="O801" i="1"/>
  <c r="P800" i="1"/>
  <c r="O800" i="1"/>
  <c r="Q800" i="1" s="1"/>
  <c r="P799" i="1"/>
  <c r="O799" i="1"/>
  <c r="P798" i="1"/>
  <c r="Q798" i="1" s="1"/>
  <c r="O798" i="1"/>
  <c r="P797" i="1"/>
  <c r="O797" i="1"/>
  <c r="P796" i="1"/>
  <c r="O796" i="1"/>
  <c r="Q796" i="1" s="1"/>
  <c r="P795" i="1"/>
  <c r="O795" i="1"/>
  <c r="P794" i="1"/>
  <c r="O794" i="1"/>
  <c r="P793" i="1"/>
  <c r="O793" i="1"/>
  <c r="P792" i="1"/>
  <c r="O792" i="1"/>
  <c r="Q792" i="1" s="1"/>
  <c r="Q791" i="1"/>
  <c r="P791" i="1"/>
  <c r="O791" i="1"/>
  <c r="P790" i="1"/>
  <c r="O790" i="1"/>
  <c r="P789" i="1"/>
  <c r="O789" i="1"/>
  <c r="Q789" i="1" s="1"/>
  <c r="P788" i="1"/>
  <c r="O788" i="1"/>
  <c r="Q787" i="1"/>
  <c r="P787" i="1"/>
  <c r="O787" i="1"/>
  <c r="P786" i="1"/>
  <c r="O786" i="1"/>
  <c r="Q786" i="1" s="1"/>
  <c r="P785" i="1"/>
  <c r="O785" i="1"/>
  <c r="Q784" i="1"/>
  <c r="P784" i="1"/>
  <c r="O784" i="1"/>
  <c r="P783" i="1"/>
  <c r="O783" i="1"/>
  <c r="P782" i="1"/>
  <c r="O782" i="1"/>
  <c r="P781" i="1"/>
  <c r="O781" i="1"/>
  <c r="P780" i="1"/>
  <c r="O780" i="1"/>
  <c r="P779" i="1"/>
  <c r="O779" i="1"/>
  <c r="P778" i="1"/>
  <c r="O778" i="1"/>
  <c r="P777" i="1"/>
  <c r="O777" i="1"/>
  <c r="P776" i="1"/>
  <c r="O776" i="1"/>
  <c r="P775" i="1"/>
  <c r="O775" i="1"/>
  <c r="Q775" i="1" s="1"/>
  <c r="P774" i="1"/>
  <c r="O774" i="1"/>
  <c r="Q774" i="1" s="1"/>
  <c r="P773" i="1"/>
  <c r="O773" i="1"/>
  <c r="P772" i="1"/>
  <c r="O772" i="1"/>
  <c r="P771" i="1"/>
  <c r="O771" i="1"/>
  <c r="Q771" i="1" s="1"/>
  <c r="P770" i="1"/>
  <c r="O770" i="1"/>
  <c r="P769" i="1"/>
  <c r="O769" i="1"/>
  <c r="P768" i="1"/>
  <c r="O768" i="1"/>
  <c r="Q768" i="1" s="1"/>
  <c r="P767" i="1"/>
  <c r="O767" i="1"/>
  <c r="Q767" i="1" s="1"/>
  <c r="P766" i="1"/>
  <c r="Q766" i="1" s="1"/>
  <c r="O766" i="1"/>
  <c r="P765" i="1"/>
  <c r="O765" i="1"/>
  <c r="P764" i="1"/>
  <c r="O764" i="1"/>
  <c r="Q764" i="1" s="1"/>
  <c r="P763" i="1"/>
  <c r="O763" i="1"/>
  <c r="Q763" i="1" s="1"/>
  <c r="P762" i="1"/>
  <c r="O762" i="1"/>
  <c r="P761" i="1"/>
  <c r="O761" i="1"/>
  <c r="P760" i="1"/>
  <c r="O760" i="1"/>
  <c r="Q760" i="1" s="1"/>
  <c r="P759" i="1"/>
  <c r="Q759" i="1" s="1"/>
  <c r="O759" i="1"/>
  <c r="P758" i="1"/>
  <c r="O758" i="1"/>
  <c r="P757" i="1"/>
  <c r="O757" i="1"/>
  <c r="P756" i="1"/>
  <c r="O756" i="1"/>
  <c r="Q755" i="1"/>
  <c r="P755" i="1"/>
  <c r="O755" i="1"/>
  <c r="P754" i="1"/>
  <c r="O754" i="1"/>
  <c r="P753" i="1"/>
  <c r="O753" i="1"/>
  <c r="P752" i="1"/>
  <c r="Q752" i="1" s="1"/>
  <c r="O752" i="1"/>
  <c r="P751" i="1"/>
  <c r="O751" i="1"/>
  <c r="P750" i="1"/>
  <c r="Q750" i="1" s="1"/>
  <c r="O750" i="1"/>
  <c r="P749" i="1"/>
  <c r="O749" i="1"/>
  <c r="P748" i="1"/>
  <c r="O748" i="1"/>
  <c r="P747" i="1"/>
  <c r="O747" i="1"/>
  <c r="P746" i="1"/>
  <c r="O746" i="1"/>
  <c r="P745" i="1"/>
  <c r="O745" i="1"/>
  <c r="P744" i="1"/>
  <c r="O744" i="1"/>
  <c r="Q743" i="1"/>
  <c r="P743" i="1"/>
  <c r="O743" i="1"/>
  <c r="P742" i="1"/>
  <c r="O742" i="1"/>
  <c r="Q742" i="1" s="1"/>
  <c r="P741" i="1"/>
  <c r="O741" i="1"/>
  <c r="Q741" i="1" s="1"/>
  <c r="P740" i="1"/>
  <c r="O740" i="1"/>
  <c r="Q739" i="1"/>
  <c r="P739" i="1"/>
  <c r="O739" i="1"/>
  <c r="P738" i="1"/>
  <c r="O738" i="1"/>
  <c r="Q738" i="1" s="1"/>
  <c r="P737" i="1"/>
  <c r="O737" i="1"/>
  <c r="Q736" i="1"/>
  <c r="P736" i="1"/>
  <c r="O736" i="1"/>
  <c r="P735" i="1"/>
  <c r="O735" i="1"/>
  <c r="Q735" i="1" s="1"/>
  <c r="P734" i="1"/>
  <c r="O734" i="1"/>
  <c r="P733" i="1"/>
  <c r="O733" i="1"/>
  <c r="P732" i="1"/>
  <c r="O732" i="1"/>
  <c r="P731" i="1"/>
  <c r="O731" i="1"/>
  <c r="Q731" i="1" s="1"/>
  <c r="P730" i="1"/>
  <c r="O730" i="1"/>
  <c r="P729" i="1"/>
  <c r="O729" i="1"/>
  <c r="P728" i="1"/>
  <c r="O728" i="1"/>
  <c r="P727" i="1"/>
  <c r="O727" i="1"/>
  <c r="Q727" i="1" s="1"/>
  <c r="P726" i="1"/>
  <c r="O726" i="1"/>
  <c r="P725" i="1"/>
  <c r="O725" i="1"/>
  <c r="P724" i="1"/>
  <c r="O724" i="1"/>
  <c r="P723" i="1"/>
  <c r="O723" i="1"/>
  <c r="P722" i="1"/>
  <c r="O722" i="1"/>
  <c r="P721" i="1"/>
  <c r="O721" i="1"/>
  <c r="P720" i="1"/>
  <c r="O720" i="1"/>
  <c r="Q720" i="1" s="1"/>
  <c r="P719" i="1"/>
  <c r="O719" i="1"/>
  <c r="P718" i="1"/>
  <c r="Q718" i="1" s="1"/>
  <c r="O718" i="1"/>
  <c r="P717" i="1"/>
  <c r="O717" i="1"/>
  <c r="P716" i="1"/>
  <c r="O716" i="1"/>
  <c r="Q716" i="1" s="1"/>
  <c r="P715" i="1"/>
  <c r="O715" i="1"/>
  <c r="P714" i="1"/>
  <c r="O714" i="1"/>
  <c r="P713" i="1"/>
  <c r="O713" i="1"/>
  <c r="P712" i="1"/>
  <c r="O712" i="1"/>
  <c r="Q712" i="1" s="1"/>
  <c r="Q711" i="1"/>
  <c r="P711" i="1"/>
  <c r="O711" i="1"/>
  <c r="P710" i="1"/>
  <c r="O710" i="1"/>
  <c r="P709" i="1"/>
  <c r="O709" i="1"/>
  <c r="Q709" i="1" s="1"/>
  <c r="P708" i="1"/>
  <c r="O708" i="1"/>
  <c r="Q707" i="1"/>
  <c r="P707" i="1"/>
  <c r="O707" i="1"/>
  <c r="P706" i="1"/>
  <c r="O706" i="1"/>
  <c r="P705" i="1"/>
  <c r="O705" i="1"/>
  <c r="Q704" i="1"/>
  <c r="P704" i="1"/>
  <c r="O704" i="1"/>
  <c r="P703" i="1"/>
  <c r="O703" i="1"/>
  <c r="P702" i="1"/>
  <c r="O702" i="1"/>
  <c r="P701" i="1"/>
  <c r="O701" i="1"/>
  <c r="P700" i="1"/>
  <c r="O700" i="1"/>
  <c r="P699" i="1"/>
  <c r="O699" i="1"/>
  <c r="P698" i="1"/>
  <c r="O698" i="1"/>
  <c r="P697" i="1"/>
  <c r="O697" i="1"/>
  <c r="P696" i="1"/>
  <c r="O696" i="1"/>
  <c r="Q695" i="1"/>
  <c r="P695" i="1"/>
  <c r="O695" i="1"/>
  <c r="P694" i="1"/>
  <c r="O694" i="1"/>
  <c r="Q694" i="1" s="1"/>
  <c r="P693" i="1"/>
  <c r="O693" i="1"/>
  <c r="P692" i="1"/>
  <c r="O692" i="1"/>
  <c r="P691" i="1"/>
  <c r="O691" i="1"/>
  <c r="Q691" i="1" s="1"/>
  <c r="P690" i="1"/>
  <c r="O690" i="1"/>
  <c r="P689" i="1"/>
  <c r="O689" i="1"/>
  <c r="Q688" i="1"/>
  <c r="P688" i="1"/>
  <c r="O688" i="1"/>
  <c r="P687" i="1"/>
  <c r="O687" i="1"/>
  <c r="Q687" i="1" s="1"/>
  <c r="P686" i="1"/>
  <c r="Q686" i="1" s="1"/>
  <c r="O686" i="1"/>
  <c r="P685" i="1"/>
  <c r="O685" i="1"/>
  <c r="P684" i="1"/>
  <c r="O684" i="1"/>
  <c r="Q684" i="1" s="1"/>
  <c r="P683" i="1"/>
  <c r="O683" i="1"/>
  <c r="Q683" i="1" s="1"/>
  <c r="P682" i="1"/>
  <c r="O682" i="1"/>
  <c r="P681" i="1"/>
  <c r="O681" i="1"/>
  <c r="P680" i="1"/>
  <c r="O680" i="1"/>
  <c r="Q680" i="1" s="1"/>
  <c r="P679" i="1"/>
  <c r="O679" i="1"/>
  <c r="Q679" i="1" s="1"/>
  <c r="P678" i="1"/>
  <c r="O678" i="1"/>
  <c r="P677" i="1"/>
  <c r="O677" i="1"/>
  <c r="P676" i="1"/>
  <c r="O676" i="1"/>
  <c r="P675" i="1"/>
  <c r="Q675" i="1" s="1"/>
  <c r="O675" i="1"/>
  <c r="P674" i="1"/>
  <c r="O674" i="1"/>
  <c r="P673" i="1"/>
  <c r="O673" i="1"/>
  <c r="P672" i="1"/>
  <c r="O672" i="1"/>
  <c r="Q672" i="1" s="1"/>
  <c r="P671" i="1"/>
  <c r="O671" i="1"/>
  <c r="P670" i="1"/>
  <c r="Q670" i="1" s="1"/>
  <c r="O670" i="1"/>
  <c r="P669" i="1"/>
  <c r="O669" i="1"/>
  <c r="P668" i="1"/>
  <c r="O668" i="1"/>
  <c r="Q668" i="1" s="1"/>
  <c r="P667" i="1"/>
  <c r="O667" i="1"/>
  <c r="P666" i="1"/>
  <c r="O666" i="1"/>
  <c r="P665" i="1"/>
  <c r="O665" i="1"/>
  <c r="P664" i="1"/>
  <c r="O664" i="1"/>
  <c r="Q664" i="1" s="1"/>
  <c r="Q663" i="1"/>
  <c r="P663" i="1"/>
  <c r="O663" i="1"/>
  <c r="P662" i="1"/>
  <c r="O662" i="1"/>
  <c r="Q662" i="1" s="1"/>
  <c r="P661" i="1"/>
  <c r="O661" i="1"/>
  <c r="Q661" i="1" s="1"/>
  <c r="P660" i="1"/>
  <c r="O660" i="1"/>
  <c r="Q659" i="1"/>
  <c r="P659" i="1"/>
  <c r="O659" i="1"/>
  <c r="P658" i="1"/>
  <c r="O658" i="1"/>
  <c r="Q658" i="1" s="1"/>
  <c r="P657" i="1"/>
  <c r="O657" i="1"/>
  <c r="Q656" i="1"/>
  <c r="P656" i="1"/>
  <c r="O656" i="1"/>
  <c r="P655" i="1"/>
  <c r="O655" i="1"/>
  <c r="Q655" i="1" s="1"/>
  <c r="P654" i="1"/>
  <c r="O654" i="1"/>
  <c r="P653" i="1"/>
  <c r="O653" i="1"/>
  <c r="P652" i="1"/>
  <c r="O652" i="1"/>
  <c r="P651" i="1"/>
  <c r="O651" i="1"/>
  <c r="Q651" i="1" s="1"/>
  <c r="P650" i="1"/>
  <c r="O650" i="1"/>
  <c r="P649" i="1"/>
  <c r="O649" i="1"/>
  <c r="P648" i="1"/>
  <c r="O648" i="1"/>
  <c r="P647" i="1"/>
  <c r="O647" i="1"/>
  <c r="Q647" i="1" s="1"/>
  <c r="P646" i="1"/>
  <c r="O646" i="1"/>
  <c r="P645" i="1"/>
  <c r="O645" i="1"/>
  <c r="P644" i="1"/>
  <c r="O644" i="1"/>
  <c r="P643" i="1"/>
  <c r="O643" i="1"/>
  <c r="Q643" i="1" s="1"/>
  <c r="P642" i="1"/>
  <c r="O642" i="1"/>
  <c r="P641" i="1"/>
  <c r="O641" i="1"/>
  <c r="P640" i="1"/>
  <c r="O640" i="1"/>
  <c r="Q640" i="1" s="1"/>
  <c r="P639" i="1"/>
  <c r="O639" i="1"/>
  <c r="Q639" i="1" s="1"/>
  <c r="P638" i="1"/>
  <c r="Q638" i="1" s="1"/>
  <c r="O638" i="1"/>
  <c r="P637" i="1"/>
  <c r="O637" i="1"/>
  <c r="P636" i="1"/>
  <c r="O636" i="1"/>
  <c r="Q636" i="1" s="1"/>
  <c r="P635" i="1"/>
  <c r="O635" i="1"/>
  <c r="Q635" i="1" s="1"/>
  <c r="P634" i="1"/>
  <c r="O634" i="1"/>
  <c r="P633" i="1"/>
  <c r="O633" i="1"/>
  <c r="P632" i="1"/>
  <c r="O632" i="1"/>
  <c r="Q632" i="1" s="1"/>
  <c r="P631" i="1"/>
  <c r="Q631" i="1" s="1"/>
  <c r="O631" i="1"/>
  <c r="P630" i="1"/>
  <c r="O630" i="1"/>
  <c r="P629" i="1"/>
  <c r="O629" i="1"/>
  <c r="Q629" i="1" s="1"/>
  <c r="P628" i="1"/>
  <c r="O628" i="1"/>
  <c r="Q627" i="1"/>
  <c r="P627" i="1"/>
  <c r="O627" i="1"/>
  <c r="P626" i="1"/>
  <c r="O626" i="1"/>
  <c r="P625" i="1"/>
  <c r="O625" i="1"/>
  <c r="P624" i="1"/>
  <c r="Q624" i="1" s="1"/>
  <c r="O624" i="1"/>
  <c r="P623" i="1"/>
  <c r="O623" i="1"/>
  <c r="P622" i="1"/>
  <c r="Q622" i="1" s="1"/>
  <c r="O622" i="1"/>
  <c r="P621" i="1"/>
  <c r="O621" i="1"/>
  <c r="P620" i="1"/>
  <c r="O620" i="1"/>
  <c r="P619" i="1"/>
  <c r="O619" i="1"/>
  <c r="P618" i="1"/>
  <c r="O618" i="1"/>
  <c r="P617" i="1"/>
  <c r="O617" i="1"/>
  <c r="P616" i="1"/>
  <c r="O616" i="1"/>
  <c r="Q615" i="1"/>
  <c r="P615" i="1"/>
  <c r="O615" i="1"/>
  <c r="P614" i="1"/>
  <c r="O614" i="1"/>
  <c r="Q614" i="1" s="1"/>
  <c r="P613" i="1"/>
  <c r="O613" i="1"/>
  <c r="Q613" i="1" s="1"/>
  <c r="P612" i="1"/>
  <c r="O612" i="1"/>
  <c r="Q611" i="1"/>
  <c r="P611" i="1"/>
  <c r="O611" i="1"/>
  <c r="P610" i="1"/>
  <c r="O610" i="1"/>
  <c r="Q610" i="1" s="1"/>
  <c r="P609" i="1"/>
  <c r="O609" i="1"/>
  <c r="Q608" i="1"/>
  <c r="P608" i="1"/>
  <c r="O608" i="1"/>
  <c r="P607" i="1"/>
  <c r="O607" i="1"/>
  <c r="Q607" i="1" s="1"/>
  <c r="P606" i="1"/>
  <c r="O606" i="1"/>
  <c r="P605" i="1"/>
  <c r="O605" i="1"/>
  <c r="P604" i="1"/>
  <c r="O604" i="1"/>
  <c r="P603" i="1"/>
  <c r="O603" i="1"/>
  <c r="Q603" i="1" s="1"/>
  <c r="P602" i="1"/>
  <c r="O602" i="1"/>
  <c r="Q602" i="1" s="1"/>
  <c r="P601" i="1"/>
  <c r="O601" i="1"/>
  <c r="P600" i="1"/>
  <c r="O600" i="1"/>
  <c r="P599" i="1"/>
  <c r="O599" i="1"/>
  <c r="Q599" i="1" s="1"/>
  <c r="P598" i="1"/>
  <c r="O598" i="1"/>
  <c r="P597" i="1"/>
  <c r="O597" i="1"/>
  <c r="P596" i="1"/>
  <c r="O596" i="1"/>
  <c r="P595" i="1"/>
  <c r="O595" i="1"/>
  <c r="P594" i="1"/>
  <c r="O594" i="1"/>
  <c r="P593" i="1"/>
  <c r="O593" i="1"/>
  <c r="P592" i="1"/>
  <c r="O592" i="1"/>
  <c r="P591" i="1"/>
  <c r="O591" i="1"/>
  <c r="P590" i="1"/>
  <c r="Q590" i="1" s="1"/>
  <c r="O590" i="1"/>
  <c r="P589" i="1"/>
  <c r="O589" i="1"/>
  <c r="P588" i="1"/>
  <c r="O588" i="1"/>
  <c r="Q588" i="1" s="1"/>
  <c r="P587" i="1"/>
  <c r="O587" i="1"/>
  <c r="P586" i="1"/>
  <c r="O586" i="1"/>
  <c r="P585" i="1"/>
  <c r="O585" i="1"/>
  <c r="P584" i="1"/>
  <c r="O584" i="1"/>
  <c r="Q584" i="1" s="1"/>
  <c r="Q583" i="1"/>
  <c r="P583" i="1"/>
  <c r="O583" i="1"/>
  <c r="P582" i="1"/>
  <c r="O582" i="1"/>
  <c r="P581" i="1"/>
  <c r="O581" i="1"/>
  <c r="Q581" i="1" s="1"/>
  <c r="P580" i="1"/>
  <c r="O580" i="1"/>
  <c r="Q579" i="1"/>
  <c r="P579" i="1"/>
  <c r="O579" i="1"/>
  <c r="P578" i="1"/>
  <c r="O578" i="1"/>
  <c r="P577" i="1"/>
  <c r="O577" i="1"/>
  <c r="P576" i="1"/>
  <c r="Q576" i="1" s="1"/>
  <c r="O576" i="1"/>
  <c r="P575" i="1"/>
  <c r="O575" i="1"/>
  <c r="P574" i="1"/>
  <c r="Q574" i="1" s="1"/>
  <c r="O574" i="1"/>
  <c r="P573" i="1"/>
  <c r="O573" i="1"/>
  <c r="P572" i="1"/>
  <c r="O572" i="1"/>
  <c r="P571" i="1"/>
  <c r="O571" i="1"/>
  <c r="P570" i="1"/>
  <c r="O570" i="1"/>
  <c r="P569" i="1"/>
  <c r="O569" i="1"/>
  <c r="P568" i="1"/>
  <c r="O568" i="1"/>
  <c r="Q567" i="1"/>
  <c r="P567" i="1"/>
  <c r="O567" i="1"/>
  <c r="P566" i="1"/>
  <c r="O566" i="1"/>
  <c r="P565" i="1"/>
  <c r="O565" i="1"/>
  <c r="P564" i="1"/>
  <c r="O564" i="1"/>
  <c r="Q563" i="1"/>
  <c r="P563" i="1"/>
  <c r="O563" i="1"/>
  <c r="P562" i="1"/>
  <c r="O562" i="1"/>
  <c r="Q562" i="1" s="1"/>
  <c r="P561" i="1"/>
  <c r="O561" i="1"/>
  <c r="P560" i="1"/>
  <c r="Q560" i="1" s="1"/>
  <c r="O560" i="1"/>
  <c r="P559" i="1"/>
  <c r="O559" i="1"/>
  <c r="P558" i="1"/>
  <c r="O558" i="1"/>
  <c r="P557" i="1"/>
  <c r="O557" i="1"/>
  <c r="P556" i="1"/>
  <c r="O556" i="1"/>
  <c r="P555" i="1"/>
  <c r="O555" i="1"/>
  <c r="P554" i="1"/>
  <c r="O554" i="1"/>
  <c r="P553" i="1"/>
  <c r="O553" i="1"/>
  <c r="P552" i="1"/>
  <c r="O552" i="1"/>
  <c r="Q551" i="1"/>
  <c r="P551" i="1"/>
  <c r="O551" i="1"/>
  <c r="P550" i="1"/>
  <c r="O550" i="1"/>
  <c r="P549" i="1"/>
  <c r="O549" i="1"/>
  <c r="P548" i="1"/>
  <c r="O548" i="1"/>
  <c r="P547" i="1"/>
  <c r="O547" i="1"/>
  <c r="Q547" i="1" s="1"/>
  <c r="P546" i="1"/>
  <c r="O546" i="1"/>
  <c r="P545" i="1"/>
  <c r="O545" i="1"/>
  <c r="P544" i="1"/>
  <c r="Q544" i="1" s="1"/>
  <c r="O544" i="1"/>
  <c r="P543" i="1"/>
  <c r="O543" i="1"/>
  <c r="Q543" i="1" s="1"/>
  <c r="P542" i="1"/>
  <c r="Q542" i="1" s="1"/>
  <c r="O542" i="1"/>
  <c r="P541" i="1"/>
  <c r="O541" i="1"/>
  <c r="P540" i="1"/>
  <c r="O540" i="1"/>
  <c r="P539" i="1"/>
  <c r="O539" i="1"/>
  <c r="Q539" i="1" s="1"/>
  <c r="P538" i="1"/>
  <c r="O538" i="1"/>
  <c r="P537" i="1"/>
  <c r="O537" i="1"/>
  <c r="P536" i="1"/>
  <c r="O536" i="1"/>
  <c r="P535" i="1"/>
  <c r="O535" i="1"/>
  <c r="Q535" i="1" s="1"/>
  <c r="P534" i="1"/>
  <c r="O534" i="1"/>
  <c r="P533" i="1"/>
  <c r="O533" i="1"/>
  <c r="P532" i="1"/>
  <c r="O532" i="1"/>
  <c r="P531" i="1"/>
  <c r="O531" i="1"/>
  <c r="Q531" i="1" s="1"/>
  <c r="P530" i="1"/>
  <c r="O530" i="1"/>
  <c r="P529" i="1"/>
  <c r="O529" i="1"/>
  <c r="P528" i="1"/>
  <c r="O528" i="1"/>
  <c r="P527" i="1"/>
  <c r="O527" i="1"/>
  <c r="P526" i="1"/>
  <c r="Q526" i="1" s="1"/>
  <c r="O526" i="1"/>
  <c r="P525" i="1"/>
  <c r="O525" i="1"/>
  <c r="P524" i="1"/>
  <c r="O524" i="1"/>
  <c r="P523" i="1"/>
  <c r="O523" i="1"/>
  <c r="P522" i="1"/>
  <c r="O522" i="1"/>
  <c r="P521" i="1"/>
  <c r="O521" i="1"/>
  <c r="P520" i="1"/>
  <c r="O520" i="1"/>
  <c r="Q519" i="1"/>
  <c r="P519" i="1"/>
  <c r="O519" i="1"/>
  <c r="P518" i="1"/>
  <c r="O518" i="1"/>
  <c r="P517" i="1"/>
  <c r="O517" i="1"/>
  <c r="Q517" i="1" s="1"/>
  <c r="P516" i="1"/>
  <c r="O516" i="1"/>
  <c r="P515" i="1"/>
  <c r="O515" i="1"/>
  <c r="P514" i="1"/>
  <c r="O514" i="1"/>
  <c r="P513" i="1"/>
  <c r="O513" i="1"/>
  <c r="P512" i="1"/>
  <c r="Q512" i="1" s="1"/>
  <c r="O512" i="1"/>
  <c r="P511" i="1"/>
  <c r="O511" i="1"/>
  <c r="P510" i="1"/>
  <c r="Q510" i="1" s="1"/>
  <c r="O510" i="1"/>
  <c r="P509" i="1"/>
  <c r="O509" i="1"/>
  <c r="P508" i="1"/>
  <c r="O508" i="1"/>
  <c r="P507" i="1"/>
  <c r="O507" i="1"/>
  <c r="P506" i="1"/>
  <c r="O506" i="1"/>
  <c r="P505" i="1"/>
  <c r="O505" i="1"/>
  <c r="P504" i="1"/>
  <c r="O504" i="1"/>
  <c r="Q503" i="1"/>
  <c r="P503" i="1"/>
  <c r="O503" i="1"/>
  <c r="P502" i="1"/>
  <c r="O502" i="1"/>
  <c r="Q502" i="1" s="1"/>
  <c r="P501" i="1"/>
  <c r="O501" i="1"/>
  <c r="Q501" i="1" s="1"/>
  <c r="P500" i="1"/>
  <c r="O500" i="1"/>
  <c r="P499" i="1"/>
  <c r="O499" i="1"/>
  <c r="P498" i="1"/>
  <c r="O498" i="1"/>
  <c r="P497" i="1"/>
  <c r="O497" i="1"/>
  <c r="Q496" i="1"/>
  <c r="P496" i="1"/>
  <c r="O496" i="1"/>
  <c r="P495" i="1"/>
  <c r="O495" i="1"/>
  <c r="P494" i="1"/>
  <c r="Q494" i="1" s="1"/>
  <c r="O494" i="1"/>
  <c r="P493" i="1"/>
  <c r="O493" i="1"/>
  <c r="P492" i="1"/>
  <c r="O492" i="1"/>
  <c r="P491" i="1"/>
  <c r="O491" i="1"/>
  <c r="Q491" i="1" s="1"/>
  <c r="P490" i="1"/>
  <c r="O490" i="1"/>
  <c r="P489" i="1"/>
  <c r="O489" i="1"/>
  <c r="P488" i="1"/>
  <c r="O488" i="1"/>
  <c r="P487" i="1"/>
  <c r="O487" i="1"/>
  <c r="Q487" i="1" s="1"/>
  <c r="P486" i="1"/>
  <c r="Q486" i="1" s="1"/>
  <c r="O486" i="1"/>
  <c r="P485" i="1"/>
  <c r="O485" i="1"/>
  <c r="P484" i="1"/>
  <c r="O484" i="1"/>
  <c r="P483" i="1"/>
  <c r="O483" i="1"/>
  <c r="Q483" i="1" s="1"/>
  <c r="P482" i="1"/>
  <c r="O482" i="1"/>
  <c r="P481" i="1"/>
  <c r="O481" i="1"/>
  <c r="P480" i="1"/>
  <c r="O480" i="1"/>
  <c r="P479" i="1"/>
  <c r="O479" i="1"/>
  <c r="Q479" i="1" s="1"/>
  <c r="P478" i="1"/>
  <c r="Q478" i="1" s="1"/>
  <c r="O478" i="1"/>
  <c r="P477" i="1"/>
  <c r="O477" i="1"/>
  <c r="P476" i="1"/>
  <c r="O476" i="1"/>
  <c r="P475" i="1"/>
  <c r="O475" i="1"/>
  <c r="Q475" i="1" s="1"/>
  <c r="P474" i="1"/>
  <c r="O474" i="1"/>
  <c r="P473" i="1"/>
  <c r="O473" i="1"/>
  <c r="P472" i="1"/>
  <c r="O472" i="1"/>
  <c r="P471" i="1"/>
  <c r="O471" i="1"/>
  <c r="Q471" i="1" s="1"/>
  <c r="P470" i="1"/>
  <c r="Q470" i="1" s="1"/>
  <c r="O470" i="1"/>
  <c r="P469" i="1"/>
  <c r="O469" i="1"/>
  <c r="P468" i="1"/>
  <c r="O468" i="1"/>
  <c r="P467" i="1"/>
  <c r="O467" i="1"/>
  <c r="Q467" i="1" s="1"/>
  <c r="P466" i="1"/>
  <c r="O466" i="1"/>
  <c r="P465" i="1"/>
  <c r="O465" i="1"/>
  <c r="P464" i="1"/>
  <c r="O464" i="1"/>
  <c r="Q464" i="1" s="1"/>
  <c r="P463" i="1"/>
  <c r="O463" i="1"/>
  <c r="Q463" i="1" s="1"/>
  <c r="P462" i="1"/>
  <c r="O462" i="1"/>
  <c r="P461" i="1"/>
  <c r="O461" i="1"/>
  <c r="P460" i="1"/>
  <c r="O460" i="1"/>
  <c r="P459" i="1"/>
  <c r="O459" i="1"/>
  <c r="Q459" i="1" s="1"/>
  <c r="P458" i="1"/>
  <c r="O458" i="1"/>
  <c r="P457" i="1"/>
  <c r="O457" i="1"/>
  <c r="P456" i="1"/>
  <c r="O456" i="1"/>
  <c r="Q456" i="1" s="1"/>
  <c r="P455" i="1"/>
  <c r="O455" i="1"/>
  <c r="P454" i="1"/>
  <c r="Q454" i="1" s="1"/>
  <c r="O454" i="1"/>
  <c r="P453" i="1"/>
  <c r="O453" i="1"/>
  <c r="P452" i="1"/>
  <c r="O452" i="1"/>
  <c r="Q452" i="1" s="1"/>
  <c r="P451" i="1"/>
  <c r="O451" i="1"/>
  <c r="Q451" i="1" s="1"/>
  <c r="P450" i="1"/>
  <c r="O450" i="1"/>
  <c r="P449" i="1"/>
  <c r="O449" i="1"/>
  <c r="P448" i="1"/>
  <c r="O448" i="1"/>
  <c r="P447" i="1"/>
  <c r="O447" i="1"/>
  <c r="P446" i="1"/>
  <c r="O446" i="1"/>
  <c r="P445" i="1"/>
  <c r="O445" i="1"/>
  <c r="P444" i="1"/>
  <c r="O444" i="1"/>
  <c r="P443" i="1"/>
  <c r="O443" i="1"/>
  <c r="P442" i="1"/>
  <c r="O442" i="1"/>
  <c r="P441" i="1"/>
  <c r="O441" i="1"/>
  <c r="P440" i="1"/>
  <c r="O440" i="1"/>
  <c r="Q440" i="1" s="1"/>
  <c r="P439" i="1"/>
  <c r="Q439" i="1" s="1"/>
  <c r="O439" i="1"/>
  <c r="P438" i="1"/>
  <c r="Q438" i="1" s="1"/>
  <c r="O438" i="1"/>
  <c r="P437" i="1"/>
  <c r="O437" i="1"/>
  <c r="Q437" i="1" s="1"/>
  <c r="P436" i="1"/>
  <c r="O436" i="1"/>
  <c r="Q436" i="1" s="1"/>
  <c r="P435" i="1"/>
  <c r="O435" i="1"/>
  <c r="P434" i="1"/>
  <c r="O434" i="1"/>
  <c r="P433" i="1"/>
  <c r="O433" i="1"/>
  <c r="P432" i="1"/>
  <c r="Q432" i="1" s="1"/>
  <c r="O432" i="1"/>
  <c r="P431" i="1"/>
  <c r="O431" i="1"/>
  <c r="P430" i="1"/>
  <c r="O430" i="1"/>
  <c r="P429" i="1"/>
  <c r="O429" i="1"/>
  <c r="Q429" i="1" s="1"/>
  <c r="P428" i="1"/>
  <c r="O428" i="1"/>
  <c r="P427" i="1"/>
  <c r="O427" i="1"/>
  <c r="P426" i="1"/>
  <c r="O426" i="1"/>
  <c r="P425" i="1"/>
  <c r="O425" i="1"/>
  <c r="P424" i="1"/>
  <c r="O424" i="1"/>
  <c r="P423" i="1"/>
  <c r="Q423" i="1" s="1"/>
  <c r="O423" i="1"/>
  <c r="P422" i="1"/>
  <c r="O422" i="1"/>
  <c r="P421" i="1"/>
  <c r="O421" i="1"/>
  <c r="Q421" i="1" s="1"/>
  <c r="P420" i="1"/>
  <c r="O420" i="1"/>
  <c r="P419" i="1"/>
  <c r="O419" i="1"/>
  <c r="P418" i="1"/>
  <c r="O418" i="1"/>
  <c r="P417" i="1"/>
  <c r="O417" i="1"/>
  <c r="Q416" i="1"/>
  <c r="P416" i="1"/>
  <c r="O416" i="1"/>
  <c r="P415" i="1"/>
  <c r="O415" i="1"/>
  <c r="P414" i="1"/>
  <c r="O414" i="1"/>
  <c r="Q414" i="1" s="1"/>
  <c r="P413" i="1"/>
  <c r="O413" i="1"/>
  <c r="Q413" i="1" s="1"/>
  <c r="P412" i="1"/>
  <c r="O412" i="1"/>
  <c r="P411" i="1"/>
  <c r="O411" i="1"/>
  <c r="P410" i="1"/>
  <c r="O410" i="1"/>
  <c r="P409" i="1"/>
  <c r="O409" i="1"/>
  <c r="P408" i="1"/>
  <c r="O408" i="1"/>
  <c r="P407" i="1"/>
  <c r="Q407" i="1" s="1"/>
  <c r="O407" i="1"/>
  <c r="P406" i="1"/>
  <c r="O406" i="1"/>
  <c r="Q406" i="1" s="1"/>
  <c r="P405" i="1"/>
  <c r="O405" i="1"/>
  <c r="Q405" i="1" s="1"/>
  <c r="P404" i="1"/>
  <c r="O404" i="1"/>
  <c r="P403" i="1"/>
  <c r="O403" i="1"/>
  <c r="P402" i="1"/>
  <c r="O402" i="1"/>
  <c r="P401" i="1"/>
  <c r="O401" i="1"/>
  <c r="Q400" i="1"/>
  <c r="P400" i="1"/>
  <c r="O400" i="1"/>
  <c r="P399" i="1"/>
  <c r="O399" i="1"/>
  <c r="P398" i="1"/>
  <c r="O398" i="1"/>
  <c r="Q398" i="1" s="1"/>
  <c r="P397" i="1"/>
  <c r="O397" i="1"/>
  <c r="P396" i="1"/>
  <c r="O396" i="1"/>
  <c r="P395" i="1"/>
  <c r="O395" i="1"/>
  <c r="P394" i="1"/>
  <c r="O394" i="1"/>
  <c r="P393" i="1"/>
  <c r="O393" i="1"/>
  <c r="P392" i="1"/>
  <c r="O392" i="1"/>
  <c r="P391" i="1"/>
  <c r="Q391" i="1" s="1"/>
  <c r="O391" i="1"/>
  <c r="P390" i="1"/>
  <c r="O390" i="1"/>
  <c r="Q390" i="1" s="1"/>
  <c r="P389" i="1"/>
  <c r="O389" i="1"/>
  <c r="P388" i="1"/>
  <c r="O388" i="1"/>
  <c r="P387" i="1"/>
  <c r="O387" i="1"/>
  <c r="P386" i="1"/>
  <c r="O386" i="1"/>
  <c r="P385" i="1"/>
  <c r="O385" i="1"/>
  <c r="Q384" i="1"/>
  <c r="P384" i="1"/>
  <c r="O384" i="1"/>
  <c r="P383" i="1"/>
  <c r="O383" i="1"/>
  <c r="P382" i="1"/>
  <c r="O382" i="1"/>
  <c r="Q382" i="1" s="1"/>
  <c r="P381" i="1"/>
  <c r="O381" i="1"/>
  <c r="P380" i="1"/>
  <c r="O380" i="1"/>
  <c r="P379" i="1"/>
  <c r="O379" i="1"/>
  <c r="P378" i="1"/>
  <c r="O378" i="1"/>
  <c r="P377" i="1"/>
  <c r="O377" i="1"/>
  <c r="P376" i="1"/>
  <c r="O376" i="1"/>
  <c r="P375" i="1"/>
  <c r="O375" i="1"/>
  <c r="Q375" i="1" s="1"/>
  <c r="P374" i="1"/>
  <c r="O374" i="1"/>
  <c r="Q374" i="1" s="1"/>
  <c r="P373" i="1"/>
  <c r="O373" i="1"/>
  <c r="P372" i="1"/>
  <c r="O372" i="1"/>
  <c r="P371" i="1"/>
  <c r="O371" i="1"/>
  <c r="P370" i="1"/>
  <c r="O370" i="1"/>
  <c r="P369" i="1"/>
  <c r="O369" i="1"/>
  <c r="P368" i="1"/>
  <c r="O368" i="1"/>
  <c r="P367" i="1"/>
  <c r="O367" i="1"/>
  <c r="Q367" i="1" s="1"/>
  <c r="P366" i="1"/>
  <c r="O366" i="1"/>
  <c r="Q366" i="1" s="1"/>
  <c r="P365" i="1"/>
  <c r="O365" i="1"/>
  <c r="P364" i="1"/>
  <c r="O364" i="1"/>
  <c r="P363" i="1"/>
  <c r="O363" i="1"/>
  <c r="P362" i="1"/>
  <c r="O362" i="1"/>
  <c r="P361" i="1"/>
  <c r="O361" i="1"/>
  <c r="P360" i="1"/>
  <c r="O360" i="1"/>
  <c r="P359" i="1"/>
  <c r="O359" i="1"/>
  <c r="Q359" i="1" s="1"/>
  <c r="P358" i="1"/>
  <c r="O358" i="1"/>
  <c r="P357" i="1"/>
  <c r="O357" i="1"/>
  <c r="P356" i="1"/>
  <c r="O356" i="1"/>
  <c r="P355" i="1"/>
  <c r="Q355" i="1" s="1"/>
  <c r="O355" i="1"/>
  <c r="P354" i="1"/>
  <c r="O354" i="1"/>
  <c r="P353" i="1"/>
  <c r="O353" i="1"/>
  <c r="P352" i="1"/>
  <c r="O352" i="1"/>
  <c r="P351" i="1"/>
  <c r="Q351" i="1" s="1"/>
  <c r="O351" i="1"/>
  <c r="P350" i="1"/>
  <c r="O350" i="1"/>
  <c r="Q350" i="1" s="1"/>
  <c r="P349" i="1"/>
  <c r="O349" i="1"/>
  <c r="P348" i="1"/>
  <c r="O348" i="1"/>
  <c r="P347" i="1"/>
  <c r="O347" i="1"/>
  <c r="P346" i="1"/>
  <c r="O346" i="1"/>
  <c r="P345" i="1"/>
  <c r="O345" i="1"/>
  <c r="P344" i="1"/>
  <c r="Q344" i="1" s="1"/>
  <c r="O344" i="1"/>
  <c r="P343" i="1"/>
  <c r="O343" i="1"/>
  <c r="P342" i="1"/>
  <c r="O342" i="1"/>
  <c r="Q342" i="1" s="1"/>
  <c r="P341" i="1"/>
  <c r="O341" i="1"/>
  <c r="P340" i="1"/>
  <c r="O340" i="1"/>
  <c r="P339" i="1"/>
  <c r="O339" i="1"/>
  <c r="Q339" i="1" s="1"/>
  <c r="P338" i="1"/>
  <c r="O338" i="1"/>
  <c r="P337" i="1"/>
  <c r="O337" i="1"/>
  <c r="P336" i="1"/>
  <c r="O336" i="1"/>
  <c r="P335" i="1"/>
  <c r="O335" i="1"/>
  <c r="P334" i="1"/>
  <c r="O334" i="1"/>
  <c r="Q334" i="1" s="1"/>
  <c r="P333" i="1"/>
  <c r="O333" i="1"/>
  <c r="P332" i="1"/>
  <c r="O332" i="1"/>
  <c r="P331" i="1"/>
  <c r="O331" i="1"/>
  <c r="Q331" i="1" s="1"/>
  <c r="P330" i="1"/>
  <c r="O330" i="1"/>
  <c r="P329" i="1"/>
  <c r="O329" i="1"/>
  <c r="Q328" i="1"/>
  <c r="P328" i="1"/>
  <c r="O328" i="1"/>
  <c r="P327" i="1"/>
  <c r="O327" i="1"/>
  <c r="P326" i="1"/>
  <c r="O326" i="1"/>
  <c r="P325" i="1"/>
  <c r="Q325" i="1" s="1"/>
  <c r="O325" i="1"/>
  <c r="P324" i="1"/>
  <c r="O324" i="1"/>
  <c r="P323" i="1"/>
  <c r="O323" i="1"/>
  <c r="Q323" i="1" s="1"/>
  <c r="P322" i="1"/>
  <c r="O322" i="1"/>
  <c r="P321" i="1"/>
  <c r="O321" i="1"/>
  <c r="P320" i="1"/>
  <c r="O320" i="1"/>
  <c r="P319" i="1"/>
  <c r="O319" i="1"/>
  <c r="P318" i="1"/>
  <c r="O318" i="1"/>
  <c r="P317" i="1"/>
  <c r="O317" i="1"/>
  <c r="P316" i="1"/>
  <c r="O316" i="1"/>
  <c r="P315" i="1"/>
  <c r="O315" i="1"/>
  <c r="P314" i="1"/>
  <c r="O314" i="1"/>
  <c r="P313" i="1"/>
  <c r="O313" i="1"/>
  <c r="P312" i="1"/>
  <c r="O312" i="1"/>
  <c r="P311" i="1"/>
  <c r="O311" i="1"/>
  <c r="P310" i="1"/>
  <c r="O310" i="1"/>
  <c r="P309" i="1"/>
  <c r="O309" i="1"/>
  <c r="Q308" i="1"/>
  <c r="P308" i="1"/>
  <c r="O308" i="1"/>
  <c r="P307" i="1"/>
  <c r="O307" i="1"/>
  <c r="Q307" i="1" s="1"/>
  <c r="P306" i="1"/>
  <c r="O306" i="1"/>
  <c r="P305" i="1"/>
  <c r="O305" i="1"/>
  <c r="P304" i="1"/>
  <c r="O304" i="1"/>
  <c r="P303" i="1"/>
  <c r="O303" i="1"/>
  <c r="Q303" i="1" s="1"/>
  <c r="P302" i="1"/>
  <c r="O302" i="1"/>
  <c r="Q301" i="1"/>
  <c r="P301" i="1"/>
  <c r="O301" i="1"/>
  <c r="P300" i="1"/>
  <c r="O300" i="1"/>
  <c r="Q300" i="1" s="1"/>
  <c r="P299" i="1"/>
  <c r="O299" i="1"/>
  <c r="P298" i="1"/>
  <c r="O298" i="1"/>
  <c r="P297" i="1"/>
  <c r="O297" i="1"/>
  <c r="P296" i="1"/>
  <c r="O296" i="1"/>
  <c r="Q296" i="1" s="1"/>
  <c r="P295" i="1"/>
  <c r="O295" i="1"/>
  <c r="P294" i="1"/>
  <c r="O294" i="1"/>
  <c r="P293" i="1"/>
  <c r="O293" i="1"/>
  <c r="P292" i="1"/>
  <c r="O292" i="1"/>
  <c r="Q292" i="1" s="1"/>
  <c r="P291" i="1"/>
  <c r="O291" i="1"/>
  <c r="P290" i="1"/>
  <c r="O290" i="1"/>
  <c r="P289" i="1"/>
  <c r="O289" i="1"/>
  <c r="P288" i="1"/>
  <c r="O288" i="1"/>
  <c r="P287" i="1"/>
  <c r="O287" i="1"/>
  <c r="P286" i="1"/>
  <c r="O286" i="1"/>
  <c r="P285" i="1"/>
  <c r="O285" i="1"/>
  <c r="P284" i="1"/>
  <c r="O284" i="1"/>
  <c r="Q284" i="1" s="1"/>
  <c r="P283" i="1"/>
  <c r="O283" i="1"/>
  <c r="P282" i="1"/>
  <c r="O282" i="1"/>
  <c r="P281" i="1"/>
  <c r="Q281" i="1" s="1"/>
  <c r="O281" i="1"/>
  <c r="P280" i="1"/>
  <c r="O280" i="1"/>
  <c r="Q280" i="1" s="1"/>
  <c r="P279" i="1"/>
  <c r="O279" i="1"/>
  <c r="P278" i="1"/>
  <c r="O278" i="1"/>
  <c r="P277" i="1"/>
  <c r="O277" i="1"/>
  <c r="P276" i="1"/>
  <c r="O276" i="1"/>
  <c r="Q276" i="1" s="1"/>
  <c r="P275" i="1"/>
  <c r="O275" i="1"/>
  <c r="P274" i="1"/>
  <c r="O274" i="1"/>
  <c r="P273" i="1"/>
  <c r="O273" i="1"/>
  <c r="P272" i="1"/>
  <c r="O272" i="1"/>
  <c r="Q272" i="1" s="1"/>
  <c r="P271" i="1"/>
  <c r="O271" i="1"/>
  <c r="P270" i="1"/>
  <c r="O270" i="1"/>
  <c r="P269" i="1"/>
  <c r="O269" i="1"/>
  <c r="P268" i="1"/>
  <c r="O268" i="1"/>
  <c r="P267" i="1"/>
  <c r="O267" i="1"/>
  <c r="P266" i="1"/>
  <c r="O266" i="1"/>
  <c r="P265" i="1"/>
  <c r="Q265" i="1" s="1"/>
  <c r="O265" i="1"/>
  <c r="P264" i="1"/>
  <c r="O264" i="1"/>
  <c r="Q264" i="1" s="1"/>
  <c r="P263" i="1"/>
  <c r="O263" i="1"/>
  <c r="P262" i="1"/>
  <c r="O262" i="1"/>
  <c r="P261" i="1"/>
  <c r="O261" i="1"/>
  <c r="P260" i="1"/>
  <c r="O260" i="1"/>
  <c r="Q260" i="1" s="1"/>
  <c r="P259" i="1"/>
  <c r="O259" i="1"/>
  <c r="P258" i="1"/>
  <c r="O258" i="1"/>
  <c r="P257" i="1"/>
  <c r="O257" i="1"/>
  <c r="P256" i="1"/>
  <c r="O256" i="1"/>
  <c r="Q256" i="1" s="1"/>
  <c r="P255" i="1"/>
  <c r="O255" i="1"/>
  <c r="P254" i="1"/>
  <c r="O254" i="1"/>
  <c r="P253" i="1"/>
  <c r="O253" i="1"/>
  <c r="Q253" i="1" s="1"/>
  <c r="P252" i="1"/>
  <c r="O252" i="1"/>
  <c r="Q252" i="1" s="1"/>
  <c r="P251" i="1"/>
  <c r="O251" i="1"/>
  <c r="P250" i="1"/>
  <c r="O250" i="1"/>
  <c r="P249" i="1"/>
  <c r="O249" i="1"/>
  <c r="P248" i="1"/>
  <c r="O248" i="1"/>
  <c r="Q248" i="1" s="1"/>
  <c r="P247" i="1"/>
  <c r="O247" i="1"/>
  <c r="P246" i="1"/>
  <c r="O246" i="1"/>
  <c r="P245" i="1"/>
  <c r="O245" i="1"/>
  <c r="Q245" i="1" s="1"/>
  <c r="P244" i="1"/>
  <c r="O244" i="1"/>
  <c r="Q244" i="1" s="1"/>
  <c r="P243" i="1"/>
  <c r="O243" i="1"/>
  <c r="P242" i="1"/>
  <c r="O242" i="1"/>
  <c r="P241" i="1"/>
  <c r="O241" i="1"/>
  <c r="P240" i="1"/>
  <c r="O240" i="1"/>
  <c r="P239" i="1"/>
  <c r="O239" i="1"/>
  <c r="P238" i="1"/>
  <c r="O238" i="1"/>
  <c r="P237" i="1"/>
  <c r="O237" i="1"/>
  <c r="Q237" i="1" s="1"/>
  <c r="P236" i="1"/>
  <c r="O236" i="1"/>
  <c r="P235" i="1"/>
  <c r="O235" i="1"/>
  <c r="P234" i="1"/>
  <c r="O234" i="1"/>
  <c r="P233" i="1"/>
  <c r="O233" i="1"/>
  <c r="P232" i="1"/>
  <c r="O232" i="1"/>
  <c r="P231" i="1"/>
  <c r="O231" i="1"/>
  <c r="P230" i="1"/>
  <c r="O230" i="1"/>
  <c r="P229" i="1"/>
  <c r="O229" i="1"/>
  <c r="Q229" i="1" s="1"/>
  <c r="P228" i="1"/>
  <c r="O228" i="1"/>
  <c r="P227" i="1"/>
  <c r="O227" i="1"/>
  <c r="P226" i="1"/>
  <c r="O226" i="1"/>
  <c r="Q226" i="1" s="1"/>
  <c r="P225" i="1"/>
  <c r="O225" i="1"/>
  <c r="P224" i="1"/>
  <c r="Q224" i="1" s="1"/>
  <c r="O224" i="1"/>
  <c r="P223" i="1"/>
  <c r="O223" i="1"/>
  <c r="P222" i="1"/>
  <c r="O222" i="1"/>
  <c r="Q222" i="1" s="1"/>
  <c r="P221" i="1"/>
  <c r="O221" i="1"/>
  <c r="Q221" i="1" s="1"/>
  <c r="P220" i="1"/>
  <c r="O220" i="1"/>
  <c r="P219" i="1"/>
  <c r="O219" i="1"/>
  <c r="P218" i="1"/>
  <c r="O218" i="1"/>
  <c r="P217" i="1"/>
  <c r="O217" i="1"/>
  <c r="P216" i="1"/>
  <c r="O216" i="1"/>
  <c r="P215" i="1"/>
  <c r="O215" i="1"/>
  <c r="P214" i="1"/>
  <c r="O214" i="1"/>
  <c r="Q214" i="1" s="1"/>
  <c r="P213" i="1"/>
  <c r="O213" i="1"/>
  <c r="Q213" i="1" s="1"/>
  <c r="P212" i="1"/>
  <c r="O212" i="1"/>
  <c r="P211" i="1"/>
  <c r="O211" i="1"/>
  <c r="P210" i="1"/>
  <c r="O210" i="1"/>
  <c r="Q210" i="1" s="1"/>
  <c r="P209" i="1"/>
  <c r="O209" i="1"/>
  <c r="P208" i="1"/>
  <c r="O208" i="1"/>
  <c r="P207" i="1"/>
  <c r="O207" i="1"/>
  <c r="P206" i="1"/>
  <c r="O206" i="1"/>
  <c r="Q206" i="1" s="1"/>
  <c r="P205" i="1"/>
  <c r="O205" i="1"/>
  <c r="Q205" i="1" s="1"/>
  <c r="P204" i="1"/>
  <c r="Q204" i="1" s="1"/>
  <c r="O204" i="1"/>
  <c r="P203" i="1"/>
  <c r="O203" i="1"/>
  <c r="P202" i="1"/>
  <c r="O202" i="1"/>
  <c r="Q202" i="1" s="1"/>
  <c r="P201" i="1"/>
  <c r="O201" i="1"/>
  <c r="Q200" i="1"/>
  <c r="P200" i="1"/>
  <c r="O200" i="1"/>
  <c r="P199" i="1"/>
  <c r="O199" i="1"/>
  <c r="P198" i="1"/>
  <c r="O198" i="1"/>
  <c r="Q198" i="1" s="1"/>
  <c r="Q197" i="1"/>
  <c r="P197" i="1"/>
  <c r="O197" i="1"/>
  <c r="P196" i="1"/>
  <c r="O196" i="1"/>
  <c r="P195" i="1"/>
  <c r="O195" i="1"/>
  <c r="Q195" i="1" s="1"/>
  <c r="P194" i="1"/>
  <c r="O194" i="1"/>
  <c r="Q194" i="1" s="1"/>
  <c r="P193" i="1"/>
  <c r="Q193" i="1" s="1"/>
  <c r="O193" i="1"/>
  <c r="P192" i="1"/>
  <c r="O192" i="1"/>
  <c r="P191" i="1"/>
  <c r="O191" i="1"/>
  <c r="Q191" i="1" s="1"/>
  <c r="P190" i="1"/>
  <c r="O190" i="1"/>
  <c r="P189" i="1"/>
  <c r="O189" i="1"/>
  <c r="P188" i="1"/>
  <c r="O188" i="1"/>
  <c r="P187" i="1"/>
  <c r="O187" i="1"/>
  <c r="P186" i="1"/>
  <c r="O186" i="1"/>
  <c r="Q186" i="1" s="1"/>
  <c r="P185" i="1"/>
  <c r="O185" i="1"/>
  <c r="P184" i="1"/>
  <c r="O184" i="1"/>
  <c r="P183" i="1"/>
  <c r="O183" i="1"/>
  <c r="P182" i="1"/>
  <c r="O182" i="1"/>
  <c r="Q182" i="1" s="1"/>
  <c r="P181" i="1"/>
  <c r="O181" i="1"/>
  <c r="Q180" i="1"/>
  <c r="P180" i="1"/>
  <c r="O180" i="1"/>
  <c r="P179" i="1"/>
  <c r="O179" i="1"/>
  <c r="Q179" i="1" s="1"/>
  <c r="P178" i="1"/>
  <c r="O178" i="1"/>
  <c r="P177" i="1"/>
  <c r="O177" i="1"/>
  <c r="P176" i="1"/>
  <c r="O176" i="1"/>
  <c r="P175" i="1"/>
  <c r="O175" i="1"/>
  <c r="Q175" i="1" s="1"/>
  <c r="P174" i="1"/>
  <c r="O174" i="1"/>
  <c r="Q173" i="1"/>
  <c r="P173" i="1"/>
  <c r="O173" i="1"/>
  <c r="P172" i="1"/>
  <c r="O172" i="1"/>
  <c r="P171" i="1"/>
  <c r="O171" i="1"/>
  <c r="P170" i="1"/>
  <c r="O170" i="1"/>
  <c r="P169" i="1"/>
  <c r="O169" i="1"/>
  <c r="P168" i="1"/>
  <c r="O168" i="1"/>
  <c r="Q168" i="1" s="1"/>
  <c r="P167" i="1"/>
  <c r="O167" i="1"/>
  <c r="Q167" i="1" s="1"/>
  <c r="P166" i="1"/>
  <c r="O166" i="1"/>
  <c r="P165" i="1"/>
  <c r="O165" i="1"/>
  <c r="P164" i="1"/>
  <c r="O164" i="1"/>
  <c r="Q164" i="1" s="1"/>
  <c r="P163" i="1"/>
  <c r="O163" i="1"/>
  <c r="Q163" i="1" s="1"/>
  <c r="P162" i="1"/>
  <c r="O162" i="1"/>
  <c r="P161" i="1"/>
  <c r="O161" i="1"/>
  <c r="P160" i="1"/>
  <c r="O160" i="1"/>
  <c r="P159" i="1"/>
  <c r="O159" i="1"/>
  <c r="Q159" i="1" s="1"/>
  <c r="P158" i="1"/>
  <c r="O158" i="1"/>
  <c r="P157" i="1"/>
  <c r="O157" i="1"/>
  <c r="Q157" i="1" s="1"/>
  <c r="P156" i="1"/>
  <c r="O156" i="1"/>
  <c r="P155" i="1"/>
  <c r="O155" i="1"/>
  <c r="P154" i="1"/>
  <c r="O154" i="1"/>
  <c r="P153" i="1"/>
  <c r="O153" i="1"/>
  <c r="P152" i="1"/>
  <c r="O152" i="1"/>
  <c r="P151" i="1"/>
  <c r="O151" i="1"/>
  <c r="P150" i="1"/>
  <c r="O150" i="1"/>
  <c r="P149" i="1"/>
  <c r="O149" i="1"/>
  <c r="Q149" i="1" s="1"/>
  <c r="P148" i="1"/>
  <c r="O148" i="1"/>
  <c r="P147" i="1"/>
  <c r="O147" i="1"/>
  <c r="P146" i="1"/>
  <c r="O146" i="1"/>
  <c r="P145" i="1"/>
  <c r="O145" i="1"/>
  <c r="P144" i="1"/>
  <c r="O144" i="1"/>
  <c r="Q144" i="1" s="1"/>
  <c r="P143" i="1"/>
  <c r="O143" i="1"/>
  <c r="P142" i="1"/>
  <c r="O142" i="1"/>
  <c r="P141" i="1"/>
  <c r="O141" i="1"/>
  <c r="Q141" i="1" s="1"/>
  <c r="P140" i="1"/>
  <c r="O140" i="1"/>
  <c r="Q140" i="1" s="1"/>
  <c r="P139" i="1"/>
  <c r="O139" i="1"/>
  <c r="P138" i="1"/>
  <c r="O138" i="1"/>
  <c r="P137" i="1"/>
  <c r="O137" i="1"/>
  <c r="P136" i="1"/>
  <c r="O136" i="1"/>
  <c r="Q136" i="1" s="1"/>
  <c r="P135" i="1"/>
  <c r="O135" i="1"/>
  <c r="P134" i="1"/>
  <c r="O134" i="1"/>
  <c r="P133" i="1"/>
  <c r="O133" i="1"/>
  <c r="Q133" i="1" s="1"/>
  <c r="P132" i="1"/>
  <c r="O132" i="1"/>
  <c r="P131" i="1"/>
  <c r="O131" i="1"/>
  <c r="P130" i="1"/>
  <c r="O130" i="1"/>
  <c r="P129" i="1"/>
  <c r="O129" i="1"/>
  <c r="P128" i="1"/>
  <c r="O128" i="1"/>
  <c r="Q128" i="1" s="1"/>
  <c r="P127" i="1"/>
  <c r="O127" i="1"/>
  <c r="P126" i="1"/>
  <c r="O126" i="1"/>
  <c r="P125" i="1"/>
  <c r="O125" i="1"/>
  <c r="P124" i="1"/>
  <c r="Q124" i="1" s="1"/>
  <c r="O124" i="1"/>
  <c r="P123" i="1"/>
  <c r="O123" i="1"/>
  <c r="P122" i="1"/>
  <c r="O122" i="1"/>
  <c r="Q122" i="1" s="1"/>
  <c r="P121" i="1"/>
  <c r="O121" i="1"/>
  <c r="P120" i="1"/>
  <c r="Q120" i="1" s="1"/>
  <c r="O120" i="1"/>
  <c r="P119" i="1"/>
  <c r="O119" i="1"/>
  <c r="P118" i="1"/>
  <c r="O118" i="1"/>
  <c r="P117" i="1"/>
  <c r="O117" i="1"/>
  <c r="Q117" i="1" s="1"/>
  <c r="P116" i="1"/>
  <c r="O116" i="1"/>
  <c r="P115" i="1"/>
  <c r="O115" i="1"/>
  <c r="P114" i="1"/>
  <c r="O114" i="1"/>
  <c r="P113" i="1"/>
  <c r="O113" i="1"/>
  <c r="Q112" i="1"/>
  <c r="P112" i="1"/>
  <c r="O112" i="1"/>
  <c r="P111" i="1"/>
  <c r="O111" i="1"/>
  <c r="Q111" i="1" s="1"/>
  <c r="P110" i="1"/>
  <c r="O110" i="1"/>
  <c r="P109" i="1"/>
  <c r="O109" i="1"/>
  <c r="P108" i="1"/>
  <c r="O108" i="1"/>
  <c r="P107" i="1"/>
  <c r="O107" i="1"/>
  <c r="Q107" i="1" s="1"/>
  <c r="P106" i="1"/>
  <c r="O106" i="1"/>
  <c r="P105" i="1"/>
  <c r="O105" i="1"/>
  <c r="P104" i="1"/>
  <c r="O104" i="1"/>
  <c r="P103" i="1"/>
  <c r="O103" i="1"/>
  <c r="P102" i="1"/>
  <c r="O102" i="1"/>
  <c r="P101" i="1"/>
  <c r="O101" i="1"/>
  <c r="P100" i="1"/>
  <c r="Q100" i="1" s="1"/>
  <c r="O100" i="1"/>
  <c r="P99" i="1"/>
  <c r="O99" i="1"/>
  <c r="P98" i="1"/>
  <c r="O98" i="1"/>
  <c r="P97" i="1"/>
  <c r="Q97" i="1" s="1"/>
  <c r="O97" i="1"/>
  <c r="P96" i="1"/>
  <c r="O96" i="1"/>
  <c r="P95" i="1"/>
  <c r="O95" i="1"/>
  <c r="P94" i="1"/>
  <c r="O94" i="1"/>
  <c r="P93" i="1"/>
  <c r="Q93" i="1" s="1"/>
  <c r="O93" i="1"/>
  <c r="Q92" i="1"/>
  <c r="P92" i="1"/>
  <c r="O92" i="1"/>
  <c r="P91" i="1"/>
  <c r="O91" i="1"/>
  <c r="Q91" i="1" s="1"/>
  <c r="P90" i="1"/>
  <c r="O90" i="1"/>
  <c r="Q90" i="1" s="1"/>
  <c r="P89" i="1"/>
  <c r="O89" i="1"/>
  <c r="P88" i="1"/>
  <c r="Q88" i="1" s="1"/>
  <c r="O88" i="1"/>
  <c r="P87" i="1"/>
  <c r="O87" i="1"/>
  <c r="P86" i="1"/>
  <c r="O86" i="1"/>
  <c r="Q85" i="1"/>
  <c r="P85" i="1"/>
  <c r="O85" i="1"/>
  <c r="P84" i="1"/>
  <c r="O84" i="1"/>
  <c r="Q84" i="1" s="1"/>
  <c r="P83" i="1"/>
  <c r="O83" i="1"/>
  <c r="P82" i="1"/>
  <c r="O82" i="1"/>
  <c r="P81" i="1"/>
  <c r="Q81" i="1" s="1"/>
  <c r="O81" i="1"/>
  <c r="P80" i="1"/>
  <c r="O80" i="1"/>
  <c r="Q80" i="1" s="1"/>
  <c r="P79" i="1"/>
  <c r="O79" i="1"/>
  <c r="P78" i="1"/>
  <c r="O78" i="1"/>
  <c r="P77" i="1"/>
  <c r="O77" i="1"/>
  <c r="P76" i="1"/>
  <c r="O76" i="1"/>
  <c r="Q76" i="1" s="1"/>
  <c r="P75" i="1"/>
  <c r="O75" i="1"/>
  <c r="P74" i="1"/>
  <c r="O74" i="1"/>
  <c r="P73" i="1"/>
  <c r="Q73" i="1" s="1"/>
  <c r="O73" i="1"/>
  <c r="P72" i="1"/>
  <c r="O72" i="1"/>
  <c r="Q72" i="1" s="1"/>
  <c r="P71" i="1"/>
  <c r="O71" i="1"/>
  <c r="P70" i="1"/>
  <c r="O70" i="1"/>
  <c r="P69" i="1"/>
  <c r="O69" i="1"/>
  <c r="P68" i="1"/>
  <c r="O68" i="1"/>
  <c r="P67" i="1"/>
  <c r="O67" i="1"/>
  <c r="P66" i="1"/>
  <c r="O66" i="1"/>
  <c r="P65" i="1"/>
  <c r="Q65" i="1" s="1"/>
  <c r="O65" i="1"/>
  <c r="P64" i="1"/>
  <c r="O64" i="1"/>
  <c r="Q64" i="1" s="1"/>
  <c r="P63" i="1"/>
  <c r="O63" i="1"/>
  <c r="P62" i="1"/>
  <c r="O62" i="1"/>
  <c r="P61" i="1"/>
  <c r="Q61" i="1" s="1"/>
  <c r="O61" i="1"/>
  <c r="P60" i="1"/>
  <c r="O60" i="1"/>
  <c r="P59" i="1"/>
  <c r="O59" i="1"/>
  <c r="P58" i="1"/>
  <c r="O58" i="1"/>
  <c r="P57" i="1"/>
  <c r="O57" i="1"/>
  <c r="P56" i="1"/>
  <c r="O56" i="1"/>
  <c r="Q56" i="1" s="1"/>
  <c r="P55" i="1"/>
  <c r="O55" i="1"/>
  <c r="P54" i="1"/>
  <c r="O54" i="1"/>
  <c r="P53" i="1"/>
  <c r="O53" i="1"/>
  <c r="P52" i="1"/>
  <c r="O52" i="1"/>
  <c r="P51" i="1"/>
  <c r="O51" i="1"/>
  <c r="P50" i="1"/>
  <c r="O50" i="1"/>
  <c r="P49" i="1"/>
  <c r="Q49" i="1" s="1"/>
  <c r="O49" i="1"/>
  <c r="Q48" i="1"/>
  <c r="P48" i="1"/>
  <c r="O48" i="1"/>
  <c r="P47" i="1"/>
  <c r="O47" i="1"/>
  <c r="P46" i="1"/>
  <c r="O46" i="1"/>
  <c r="P45" i="1"/>
  <c r="O45" i="1"/>
  <c r="P44" i="1"/>
  <c r="O44" i="1"/>
  <c r="P43" i="1"/>
  <c r="O43" i="1"/>
  <c r="P42" i="1"/>
  <c r="O42" i="1"/>
  <c r="Q42" i="1" s="1"/>
  <c r="P41" i="1"/>
  <c r="O41" i="1"/>
  <c r="P40" i="1"/>
  <c r="O40" i="1"/>
  <c r="P39" i="1"/>
  <c r="O39" i="1"/>
  <c r="P38" i="1"/>
  <c r="O38" i="1"/>
  <c r="P37" i="1"/>
  <c r="O37" i="1"/>
  <c r="P36" i="1"/>
  <c r="Q36" i="1" s="1"/>
  <c r="O36" i="1"/>
  <c r="P35" i="1"/>
  <c r="O35" i="1"/>
  <c r="P34" i="1"/>
  <c r="O34" i="1"/>
  <c r="P33" i="1"/>
  <c r="Q33" i="1" s="1"/>
  <c r="O33" i="1"/>
  <c r="P32" i="1"/>
  <c r="O32" i="1"/>
  <c r="P31" i="1"/>
  <c r="O31" i="1"/>
  <c r="P30" i="1"/>
  <c r="O30" i="1"/>
  <c r="Q30" i="1" s="1"/>
  <c r="P29" i="1"/>
  <c r="Q29" i="1" s="1"/>
  <c r="O29" i="1"/>
  <c r="Q28" i="1"/>
  <c r="P28" i="1"/>
  <c r="O28" i="1"/>
  <c r="P27" i="1"/>
  <c r="O27" i="1"/>
  <c r="Q27" i="1" s="1"/>
  <c r="P26" i="1"/>
  <c r="O26" i="1"/>
  <c r="P25" i="1"/>
  <c r="O25" i="1"/>
  <c r="Q24" i="1"/>
  <c r="P24" i="1"/>
  <c r="O24" i="1"/>
  <c r="P23" i="1"/>
  <c r="O23" i="1"/>
  <c r="P22" i="1"/>
  <c r="O22" i="1"/>
  <c r="Q21" i="1"/>
  <c r="P21" i="1"/>
  <c r="O21" i="1"/>
  <c r="P20" i="1"/>
  <c r="O20" i="1"/>
  <c r="Q20" i="1" s="1"/>
  <c r="P19" i="1"/>
  <c r="O19" i="1"/>
  <c r="P18" i="1"/>
  <c r="O18" i="1"/>
  <c r="P17" i="1"/>
  <c r="Q17" i="1" s="1"/>
  <c r="O17" i="1"/>
  <c r="P16" i="1"/>
  <c r="O16" i="1"/>
  <c r="Q16" i="1" s="1"/>
  <c r="P15" i="1"/>
  <c r="O15" i="1"/>
  <c r="P14" i="1"/>
  <c r="O14" i="1"/>
  <c r="P13" i="1"/>
  <c r="O13" i="1"/>
  <c r="P12" i="1"/>
  <c r="O12" i="1"/>
  <c r="Q12" i="1" s="1"/>
  <c r="P11" i="1"/>
  <c r="O11" i="1"/>
  <c r="P10" i="1"/>
  <c r="O10" i="1"/>
  <c r="P9" i="1"/>
  <c r="Q9" i="1" s="1"/>
  <c r="O9" i="1"/>
  <c r="P8" i="1"/>
  <c r="O8" i="1"/>
  <c r="Q8" i="1" s="1"/>
  <c r="P7" i="1"/>
  <c r="O7" i="1"/>
  <c r="P6" i="1"/>
  <c r="O6" i="1"/>
  <c r="P5" i="1"/>
  <c r="O5" i="1"/>
  <c r="P4" i="1"/>
  <c r="O4" i="1"/>
  <c r="P3" i="1"/>
  <c r="O3" i="1"/>
  <c r="P2" i="1"/>
  <c r="O2" i="1"/>
  <c r="U16" i="5"/>
  <c r="W18" i="5"/>
  <c r="U12" i="5"/>
  <c r="U13" i="5"/>
  <c r="U10" i="5"/>
  <c r="Q75" i="1" l="1"/>
  <c r="Q79" i="1"/>
  <c r="Q94" i="1"/>
  <c r="Q106" i="1"/>
  <c r="Q110" i="1"/>
  <c r="Q113" i="1"/>
  <c r="Q132" i="1"/>
  <c r="Q148" i="1"/>
  <c r="Q152" i="1"/>
  <c r="Q156" i="1"/>
  <c r="Q520" i="1"/>
  <c r="Q528" i="1"/>
  <c r="Q646" i="1"/>
  <c r="Q877" i="1"/>
  <c r="Q983" i="1"/>
  <c r="Q37" i="1"/>
  <c r="Q45" i="1"/>
  <c r="Q60" i="1"/>
  <c r="Q734" i="1"/>
  <c r="Q11" i="1"/>
  <c r="Q15" i="1"/>
  <c r="Q26" i="1"/>
  <c r="Q53" i="1"/>
  <c r="Q267" i="1"/>
  <c r="Q275" i="1"/>
  <c r="Q279" i="1"/>
  <c r="Q283" i="1"/>
  <c r="Q287" i="1"/>
  <c r="Q295" i="1"/>
  <c r="Q310" i="1"/>
  <c r="Q314" i="1"/>
  <c r="Q322" i="1"/>
  <c r="Q326" i="1"/>
  <c r="Q389" i="1"/>
  <c r="Q397" i="1"/>
  <c r="Q420" i="1"/>
  <c r="Q424" i="1"/>
  <c r="Q428" i="1"/>
  <c r="Q455" i="1"/>
  <c r="Q606" i="1"/>
  <c r="Q723" i="1"/>
  <c r="Q240" i="1"/>
  <c r="Q448" i="1"/>
  <c r="Q568" i="1"/>
  <c r="Q572" i="1"/>
  <c r="Q587" i="1"/>
  <c r="Q591" i="1"/>
  <c r="Q595" i="1"/>
  <c r="Q818" i="1"/>
  <c r="Q174" i="1"/>
  <c r="Q178" i="1"/>
  <c r="Q358" i="1"/>
  <c r="Q550" i="1"/>
  <c r="Q565" i="1"/>
  <c r="Q690" i="1"/>
  <c r="Q807" i="1"/>
  <c r="Q917" i="1"/>
  <c r="Q939" i="1"/>
  <c r="Q943" i="1"/>
  <c r="Q217" i="1"/>
  <c r="Q4" i="1"/>
  <c r="Q68" i="1"/>
  <c r="Q125" i="1"/>
  <c r="Q129" i="1"/>
  <c r="Q160" i="1"/>
  <c r="Q268" i="1"/>
  <c r="Q288" i="1"/>
  <c r="Q304" i="1"/>
  <c r="Q343" i="1"/>
  <c r="Q383" i="1"/>
  <c r="Q445" i="1"/>
  <c r="Q495" i="1"/>
  <c r="Q558" i="1"/>
  <c r="Q566" i="1"/>
  <c r="Q592" i="1"/>
  <c r="Q702" i="1"/>
  <c r="Q706" i="1"/>
  <c r="Q757" i="1"/>
  <c r="Q779" i="1"/>
  <c r="Q783" i="1"/>
  <c r="Q790" i="1"/>
  <c r="Q808" i="1"/>
  <c r="Q812" i="1"/>
  <c r="Q830" i="1"/>
  <c r="Q834" i="1"/>
  <c r="Q845" i="1"/>
  <c r="Q878" i="1"/>
  <c r="Q882" i="1"/>
  <c r="Q893" i="1"/>
  <c r="Q933" i="1"/>
  <c r="Q955" i="1"/>
  <c r="Q959" i="1"/>
  <c r="Q966" i="1"/>
  <c r="Q995" i="1"/>
  <c r="Q782" i="1"/>
  <c r="Q5" i="1"/>
  <c r="Q13" i="1"/>
  <c r="Q43" i="1"/>
  <c r="Q47" i="1"/>
  <c r="Q69" i="1"/>
  <c r="Q77" i="1"/>
  <c r="Q126" i="1"/>
  <c r="Q138" i="1"/>
  <c r="Q142" i="1"/>
  <c r="Q145" i="1"/>
  <c r="Q153" i="1"/>
  <c r="Q176" i="1"/>
  <c r="Q242" i="1"/>
  <c r="Q257" i="1"/>
  <c r="Q261" i="1"/>
  <c r="Q269" i="1"/>
  <c r="Q277" i="1"/>
  <c r="Q285" i="1"/>
  <c r="Q293" i="1"/>
  <c r="Q312" i="1"/>
  <c r="Q316" i="1"/>
  <c r="Q320" i="1"/>
  <c r="Q324" i="1"/>
  <c r="Q335" i="1"/>
  <c r="Q371" i="1"/>
  <c r="Q387" i="1"/>
  <c r="Q395" i="1"/>
  <c r="Q399" i="1"/>
  <c r="Q422" i="1"/>
  <c r="Q430" i="1"/>
  <c r="Q453" i="1"/>
  <c r="Q461" i="1"/>
  <c r="Q472" i="1"/>
  <c r="Q480" i="1"/>
  <c r="Q499" i="1"/>
  <c r="Q518" i="1"/>
  <c r="Q536" i="1"/>
  <c r="Q540" i="1"/>
  <c r="Q555" i="1"/>
  <c r="Q559" i="1"/>
  <c r="Q570" i="1"/>
  <c r="Q578" i="1"/>
  <c r="Q600" i="1"/>
  <c r="Q604" i="1"/>
  <c r="Q626" i="1"/>
  <c r="Q677" i="1"/>
  <c r="Q699" i="1"/>
  <c r="Q703" i="1"/>
  <c r="Q710" i="1"/>
  <c r="Q728" i="1"/>
  <c r="Q732" i="1"/>
  <c r="Q754" i="1"/>
  <c r="Q805" i="1"/>
  <c r="Q827" i="1"/>
  <c r="Q831" i="1"/>
  <c r="Q838" i="1"/>
  <c r="Q856" i="1"/>
  <c r="Q860" i="1"/>
  <c r="Q875" i="1"/>
  <c r="Q879" i="1"/>
  <c r="Q886" i="1"/>
  <c r="Q904" i="1"/>
  <c r="Q908" i="1"/>
  <c r="Q930" i="1"/>
  <c r="Q941" i="1"/>
  <c r="Q981" i="1"/>
  <c r="Q654" i="1"/>
  <c r="Q958" i="1"/>
  <c r="Q58" i="1"/>
  <c r="Q96" i="1"/>
  <c r="Q104" i="1"/>
  <c r="Q108" i="1"/>
  <c r="Q123" i="1"/>
  <c r="Q146" i="1"/>
  <c r="Q150" i="1"/>
  <c r="Q154" i="1"/>
  <c r="Q165" i="1"/>
  <c r="Q184" i="1"/>
  <c r="Q188" i="1"/>
  <c r="Q192" i="1"/>
  <c r="Q196" i="1"/>
  <c r="Q203" i="1"/>
  <c r="Q211" i="1"/>
  <c r="Q215" i="1"/>
  <c r="Q219" i="1"/>
  <c r="Q223" i="1"/>
  <c r="Q231" i="1"/>
  <c r="Q246" i="1"/>
  <c r="Q250" i="1"/>
  <c r="Q258" i="1"/>
  <c r="Q262" i="1"/>
  <c r="Q332" i="1"/>
  <c r="Q336" i="1"/>
  <c r="Q340" i="1"/>
  <c r="Q348" i="1"/>
  <c r="Q352" i="1"/>
  <c r="Q356" i="1"/>
  <c r="Q360" i="1"/>
  <c r="Q364" i="1"/>
  <c r="Q368" i="1"/>
  <c r="Q376" i="1"/>
  <c r="Q380" i="1"/>
  <c r="Q403" i="1"/>
  <c r="Q411" i="1"/>
  <c r="Q415" i="1"/>
  <c r="Q446" i="1"/>
  <c r="Q469" i="1"/>
  <c r="Q488" i="1"/>
  <c r="Q507" i="1"/>
  <c r="Q511" i="1"/>
  <c r="Q582" i="1"/>
  <c r="Q597" i="1"/>
  <c r="Q619" i="1"/>
  <c r="Q623" i="1"/>
  <c r="Q630" i="1"/>
  <c r="Q648" i="1"/>
  <c r="Q652" i="1"/>
  <c r="Q674" i="1"/>
  <c r="Q725" i="1"/>
  <c r="Q747" i="1"/>
  <c r="Q751" i="1"/>
  <c r="Q758" i="1"/>
  <c r="Q776" i="1"/>
  <c r="Q780" i="1"/>
  <c r="Q802" i="1"/>
  <c r="Q853" i="1"/>
  <c r="Q901" i="1"/>
  <c r="Q923" i="1"/>
  <c r="Q927" i="1"/>
  <c r="Q934" i="1"/>
  <c r="Q952" i="1"/>
  <c r="Q956" i="1"/>
  <c r="Q978" i="1"/>
  <c r="Q10" i="1"/>
  <c r="Q14" i="1"/>
  <c r="Q32" i="1"/>
  <c r="Q40" i="1"/>
  <c r="Q44" i="1"/>
  <c r="Q62" i="1"/>
  <c r="Q74" i="1"/>
  <c r="Q78" i="1"/>
  <c r="Q116" i="1"/>
  <c r="Q127" i="1"/>
  <c r="Q139" i="1"/>
  <c r="Q143" i="1"/>
  <c r="Q162" i="1"/>
  <c r="Q239" i="1"/>
  <c r="Q243" i="1"/>
  <c r="Q266" i="1"/>
  <c r="Q270" i="1"/>
  <c r="Q278" i="1"/>
  <c r="Q286" i="1"/>
  <c r="Q290" i="1"/>
  <c r="Q309" i="1"/>
  <c r="Q317" i="1"/>
  <c r="Q388" i="1"/>
  <c r="Q392" i="1"/>
  <c r="Q396" i="1"/>
  <c r="Q419" i="1"/>
  <c r="Q427" i="1"/>
  <c r="Q431" i="1"/>
  <c r="Q462" i="1"/>
  <c r="Q477" i="1"/>
  <c r="Q485" i="1"/>
  <c r="Q515" i="1"/>
  <c r="Q552" i="1"/>
  <c r="Q556" i="1"/>
  <c r="Q571" i="1"/>
  <c r="Q575" i="1"/>
  <c r="Q586" i="1"/>
  <c r="Q594" i="1"/>
  <c r="Q645" i="1"/>
  <c r="Q667" i="1"/>
  <c r="Q671" i="1"/>
  <c r="Q678" i="1"/>
  <c r="Q696" i="1"/>
  <c r="Q700" i="1"/>
  <c r="Q722" i="1"/>
  <c r="Q773" i="1"/>
  <c r="Q795" i="1"/>
  <c r="Q799" i="1"/>
  <c r="Q806" i="1"/>
  <c r="Q824" i="1"/>
  <c r="Q828" i="1"/>
  <c r="Q850" i="1"/>
  <c r="Q861" i="1"/>
  <c r="Q872" i="1"/>
  <c r="Q876" i="1"/>
  <c r="Q898" i="1"/>
  <c r="Q909" i="1"/>
  <c r="Q949" i="1"/>
  <c r="Q1000" i="1"/>
  <c r="Q52" i="1"/>
  <c r="Q59" i="1"/>
  <c r="Q101" i="1"/>
  <c r="Q109" i="1"/>
  <c r="Q151" i="1"/>
  <c r="Q155" i="1"/>
  <c r="Q189" i="1"/>
  <c r="Q208" i="1"/>
  <c r="Q212" i="1"/>
  <c r="Q216" i="1"/>
  <c r="Q220" i="1"/>
  <c r="Q228" i="1"/>
  <c r="Q232" i="1"/>
  <c r="Q236" i="1"/>
  <c r="Q259" i="1"/>
  <c r="Q306" i="1"/>
  <c r="Q333" i="1"/>
  <c r="Q349" i="1"/>
  <c r="Q357" i="1"/>
  <c r="Q365" i="1"/>
  <c r="Q373" i="1"/>
  <c r="Q381" i="1"/>
  <c r="Q404" i="1"/>
  <c r="Q408" i="1"/>
  <c r="Q412" i="1"/>
  <c r="Q435" i="1"/>
  <c r="Q443" i="1"/>
  <c r="Q447" i="1"/>
  <c r="Q493" i="1"/>
  <c r="Q504" i="1"/>
  <c r="Q523" i="1"/>
  <c r="Q527" i="1"/>
  <c r="Q534" i="1"/>
  <c r="Q598" i="1"/>
  <c r="Q616" i="1"/>
  <c r="Q620" i="1"/>
  <c r="Q642" i="1"/>
  <c r="Q693" i="1"/>
  <c r="Q715" i="1"/>
  <c r="Q719" i="1"/>
  <c r="Q726" i="1"/>
  <c r="Q744" i="1"/>
  <c r="Q748" i="1"/>
  <c r="Q770" i="1"/>
  <c r="Q781" i="1"/>
  <c r="Q821" i="1"/>
  <c r="Q843" i="1"/>
  <c r="Q847" i="1"/>
  <c r="Q854" i="1"/>
  <c r="Q869" i="1"/>
  <c r="Q891" i="1"/>
  <c r="Q895" i="1"/>
  <c r="Q902" i="1"/>
  <c r="Q920" i="1"/>
  <c r="Q924" i="1"/>
  <c r="Q946" i="1"/>
  <c r="Q2" i="1"/>
  <c r="Q19" i="1"/>
  <c r="Q22" i="1"/>
  <c r="Q25" i="1"/>
  <c r="Q39" i="1"/>
  <c r="Q66" i="1"/>
  <c r="Q83" i="1"/>
  <c r="Q86" i="1"/>
  <c r="Q89" i="1"/>
  <c r="Q103" i="1"/>
  <c r="Q130" i="1"/>
  <c r="Q147" i="1"/>
  <c r="Q158" i="1"/>
  <c r="Q161" i="1"/>
  <c r="Q172" i="1"/>
  <c r="Q201" i="1"/>
  <c r="Q46" i="1"/>
  <c r="Q63" i="1"/>
  <c r="Q3" i="1"/>
  <c r="Q6" i="1"/>
  <c r="Q23" i="1"/>
  <c r="Q50" i="1"/>
  <c r="Q67" i="1"/>
  <c r="Q70" i="1"/>
  <c r="Q87" i="1"/>
  <c r="Q114" i="1"/>
  <c r="Q131" i="1"/>
  <c r="Q134" i="1"/>
  <c r="Q137" i="1"/>
  <c r="Q7" i="1"/>
  <c r="Q34" i="1"/>
  <c r="Q51" i="1"/>
  <c r="Q54" i="1"/>
  <c r="Q57" i="1"/>
  <c r="Q71" i="1"/>
  <c r="Q98" i="1"/>
  <c r="Q115" i="1"/>
  <c r="Q118" i="1"/>
  <c r="Q121" i="1"/>
  <c r="Q135" i="1"/>
  <c r="Q177" i="1"/>
  <c r="Q181" i="1"/>
  <c r="Q31" i="1"/>
  <c r="Q95" i="1"/>
  <c r="Q18" i="1"/>
  <c r="Q35" i="1"/>
  <c r="Q38" i="1"/>
  <c r="Q41" i="1"/>
  <c r="Q55" i="1"/>
  <c r="Q82" i="1"/>
  <c r="Q99" i="1"/>
  <c r="Q102" i="1"/>
  <c r="Q105" i="1"/>
  <c r="Q119" i="1"/>
  <c r="Q171" i="1"/>
  <c r="Q166" i="1"/>
  <c r="Q169" i="1"/>
  <c r="Q183" i="1"/>
  <c r="Q227" i="1"/>
  <c r="Q230" i="1"/>
  <c r="Q233" i="1"/>
  <c r="Q247" i="1"/>
  <c r="Q274" i="1"/>
  <c r="Q291" i="1"/>
  <c r="Q294" i="1"/>
  <c r="Q297" i="1"/>
  <c r="Q311" i="1"/>
  <c r="Q509" i="1"/>
  <c r="Q525" i="1"/>
  <c r="Q541" i="1"/>
  <c r="Q557" i="1"/>
  <c r="Q573" i="1"/>
  <c r="Q589" i="1"/>
  <c r="Q605" i="1"/>
  <c r="Q621" i="1"/>
  <c r="Q637" i="1"/>
  <c r="Q653" i="1"/>
  <c r="Q669" i="1"/>
  <c r="Q685" i="1"/>
  <c r="Q701" i="1"/>
  <c r="Q717" i="1"/>
  <c r="Q733" i="1"/>
  <c r="Q749" i="1"/>
  <c r="Q765" i="1"/>
  <c r="Q797" i="1"/>
  <c r="Q813" i="1"/>
  <c r="Q957" i="1"/>
  <c r="Q973" i="1"/>
  <c r="Q989" i="1"/>
  <c r="Q170" i="1"/>
  <c r="Q187" i="1"/>
  <c r="Q190" i="1"/>
  <c r="Q207" i="1"/>
  <c r="Q234" i="1"/>
  <c r="Q251" i="1"/>
  <c r="Q254" i="1"/>
  <c r="Q271" i="1"/>
  <c r="Q298" i="1"/>
  <c r="Q315" i="1"/>
  <c r="Q318" i="1"/>
  <c r="Q321" i="1"/>
  <c r="Q338" i="1"/>
  <c r="Q341" i="1"/>
  <c r="Q347" i="1"/>
  <c r="Q618" i="1"/>
  <c r="Q634" i="1"/>
  <c r="Q650" i="1"/>
  <c r="Q666" i="1"/>
  <c r="Q682" i="1"/>
  <c r="Q698" i="1"/>
  <c r="Q714" i="1"/>
  <c r="Q730" i="1"/>
  <c r="Q746" i="1"/>
  <c r="Q762" i="1"/>
  <c r="Q778" i="1"/>
  <c r="Q794" i="1"/>
  <c r="Q810" i="1"/>
  <c r="Q826" i="1"/>
  <c r="Q842" i="1"/>
  <c r="Q858" i="1"/>
  <c r="Q874" i="1"/>
  <c r="Q890" i="1"/>
  <c r="Q906" i="1"/>
  <c r="Q922" i="1"/>
  <c r="Q938" i="1"/>
  <c r="Q954" i="1"/>
  <c r="Q970" i="1"/>
  <c r="Q986" i="1"/>
  <c r="Q468" i="1"/>
  <c r="Q484" i="1"/>
  <c r="Q500" i="1"/>
  <c r="Q516" i="1"/>
  <c r="Q532" i="1"/>
  <c r="Q548" i="1"/>
  <c r="Q564" i="1"/>
  <c r="Q580" i="1"/>
  <c r="Q596" i="1"/>
  <c r="Q612" i="1"/>
  <c r="Q628" i="1"/>
  <c r="Q644" i="1"/>
  <c r="Q660" i="1"/>
  <c r="Q676" i="1"/>
  <c r="Q692" i="1"/>
  <c r="Q708" i="1"/>
  <c r="Q724" i="1"/>
  <c r="Q740" i="1"/>
  <c r="Q756" i="1"/>
  <c r="Q772" i="1"/>
  <c r="Q788" i="1"/>
  <c r="Q804" i="1"/>
  <c r="Q820" i="1"/>
  <c r="Q836" i="1"/>
  <c r="Q852" i="1"/>
  <c r="Q868" i="1"/>
  <c r="Q884" i="1"/>
  <c r="Q900" i="1"/>
  <c r="Q916" i="1"/>
  <c r="Q932" i="1"/>
  <c r="Q948" i="1"/>
  <c r="Q964" i="1"/>
  <c r="Q980" i="1"/>
  <c r="Q996" i="1"/>
  <c r="Q218" i="1"/>
  <c r="Q235" i="1"/>
  <c r="Q238" i="1"/>
  <c r="Q241" i="1"/>
  <c r="Q255" i="1"/>
  <c r="Q282" i="1"/>
  <c r="Q299" i="1"/>
  <c r="Q302" i="1"/>
  <c r="Q305" i="1"/>
  <c r="Q319" i="1"/>
  <c r="Q372" i="1"/>
  <c r="Q533" i="1"/>
  <c r="Q549" i="1"/>
  <c r="Q225" i="1"/>
  <c r="Q289" i="1"/>
  <c r="Q379" i="1"/>
  <c r="Q185" i="1"/>
  <c r="Q199" i="1"/>
  <c r="Q249" i="1"/>
  <c r="Q263" i="1"/>
  <c r="Q313" i="1"/>
  <c r="Q327" i="1"/>
  <c r="Q444" i="1"/>
  <c r="Q460" i="1"/>
  <c r="Q476" i="1"/>
  <c r="Q492" i="1"/>
  <c r="Q508" i="1"/>
  <c r="Q524" i="1"/>
  <c r="Q988" i="1"/>
  <c r="Q209" i="1"/>
  <c r="Q273" i="1"/>
  <c r="Q363" i="1"/>
  <c r="Q346" i="1"/>
  <c r="Q362" i="1"/>
  <c r="Q378" i="1"/>
  <c r="Q394" i="1"/>
  <c r="Q410" i="1"/>
  <c r="Q426" i="1"/>
  <c r="Q442" i="1"/>
  <c r="Q458" i="1"/>
  <c r="Q474" i="1"/>
  <c r="Q490" i="1"/>
  <c r="Q506" i="1"/>
  <c r="Q522" i="1"/>
  <c r="Q538" i="1"/>
  <c r="Q554" i="1"/>
  <c r="Q337" i="1"/>
  <c r="Q353" i="1"/>
  <c r="Q369" i="1"/>
  <c r="Q385" i="1"/>
  <c r="Q401" i="1"/>
  <c r="Q417" i="1"/>
  <c r="Q433" i="1"/>
  <c r="Q449" i="1"/>
  <c r="Q465" i="1"/>
  <c r="Q481" i="1"/>
  <c r="Q497" i="1"/>
  <c r="Q513" i="1"/>
  <c r="Q529" i="1"/>
  <c r="Q545" i="1"/>
  <c r="Q561" i="1"/>
  <c r="Q577" i="1"/>
  <c r="Q593" i="1"/>
  <c r="Q609" i="1"/>
  <c r="Q625" i="1"/>
  <c r="Q641" i="1"/>
  <c r="Q657" i="1"/>
  <c r="Q673" i="1"/>
  <c r="Q689" i="1"/>
  <c r="Q705" i="1"/>
  <c r="Q721" i="1"/>
  <c r="Q737" i="1"/>
  <c r="Q753" i="1"/>
  <c r="Q769" i="1"/>
  <c r="Q785" i="1"/>
  <c r="Q801" i="1"/>
  <c r="Q817" i="1"/>
  <c r="Q833" i="1"/>
  <c r="Q849" i="1"/>
  <c r="Q865" i="1"/>
  <c r="Q881" i="1"/>
  <c r="Q897" i="1"/>
  <c r="Q913" i="1"/>
  <c r="Q929" i="1"/>
  <c r="Q945" i="1"/>
  <c r="Q961" i="1"/>
  <c r="Q977" i="1"/>
  <c r="Q993" i="1"/>
  <c r="Q329" i="1"/>
  <c r="Q354" i="1"/>
  <c r="Q370" i="1"/>
  <c r="Q386" i="1"/>
  <c r="Q402" i="1"/>
  <c r="Q418" i="1"/>
  <c r="Q434" i="1"/>
  <c r="Q450" i="1"/>
  <c r="Q466" i="1"/>
  <c r="Q482" i="1"/>
  <c r="Q498" i="1"/>
  <c r="Q514" i="1"/>
  <c r="Q530" i="1"/>
  <c r="Q546" i="1"/>
  <c r="Q330" i="1"/>
  <c r="Q345" i="1"/>
  <c r="Q361" i="1"/>
  <c r="Q377" i="1"/>
  <c r="Q393" i="1"/>
  <c r="Q409" i="1"/>
  <c r="Q425" i="1"/>
  <c r="Q441" i="1"/>
  <c r="Q457" i="1"/>
  <c r="Q473" i="1"/>
  <c r="Q489" i="1"/>
  <c r="Q505" i="1"/>
  <c r="Q521" i="1"/>
  <c r="Q537" i="1"/>
  <c r="Q553" i="1"/>
  <c r="Q569" i="1"/>
  <c r="Q585" i="1"/>
  <c r="Q601" i="1"/>
  <c r="Q617" i="1"/>
  <c r="Q633" i="1"/>
  <c r="Q649" i="1"/>
  <c r="Q665" i="1"/>
  <c r="Q681" i="1"/>
  <c r="Q697" i="1"/>
  <c r="Q713" i="1"/>
  <c r="Q729" i="1"/>
  <c r="Q745" i="1"/>
  <c r="Q761" i="1"/>
  <c r="Q777" i="1"/>
  <c r="Q793" i="1"/>
  <c r="Q809" i="1"/>
  <c r="Q825" i="1"/>
  <c r="Q841" i="1"/>
  <c r="Q857" i="1"/>
  <c r="Q873" i="1"/>
  <c r="Q889" i="1"/>
  <c r="Q905" i="1"/>
  <c r="Q921" i="1"/>
  <c r="Q937" i="1"/>
  <c r="Q953" i="1"/>
  <c r="Q969" i="1"/>
  <c r="Q985" i="1"/>
</calcChain>
</file>

<file path=xl/sharedStrings.xml><?xml version="1.0" encoding="utf-8"?>
<sst xmlns="http://schemas.openxmlformats.org/spreadsheetml/2006/main" count="7054" uniqueCount="77">
  <si>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</si>
  <si>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</si>
  <si>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</si>
  <si>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</si>
  <si>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</si>
  <si>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</si>
  <si>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</si>
  <si>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</si>
  <si>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</si>
  <si>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</si>
  <si>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</si>
  <si>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</si>
  <si>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</si>
  <si>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</si>
  <si>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Gross_Sales</t>
  </si>
  <si>
    <t>Total Cost</t>
  </si>
  <si>
    <t>Net_Profit</t>
  </si>
  <si>
    <t>Bob</t>
  </si>
  <si>
    <t>East</t>
  </si>
  <si>
    <t>Clothing</t>
  </si>
  <si>
    <t>Returning</t>
  </si>
  <si>
    <t>Cash</t>
  </si>
  <si>
    <t>Online</t>
  </si>
  <si>
    <t>East-Bob</t>
  </si>
  <si>
    <t>Alice</t>
  </si>
  <si>
    <t>West</t>
  </si>
  <si>
    <t>Electronics</t>
  </si>
  <si>
    <t>New</t>
  </si>
  <si>
    <t>Credit Card</t>
  </si>
  <si>
    <t>West-Alice</t>
  </si>
  <si>
    <t>David</t>
  </si>
  <si>
    <t>Food</t>
  </si>
  <si>
    <t>Retail</t>
  </si>
  <si>
    <t>East-David</t>
  </si>
  <si>
    <t>West-Bob</t>
  </si>
  <si>
    <t>Charlie</t>
  </si>
  <si>
    <t>East-Charlie</t>
  </si>
  <si>
    <t>North</t>
  </si>
  <si>
    <t>North-Charlie</t>
  </si>
  <si>
    <t>Furniture</t>
  </si>
  <si>
    <t>South</t>
  </si>
  <si>
    <t>South-David</t>
  </si>
  <si>
    <t>South-Bob</t>
  </si>
  <si>
    <t>South-Charlie</t>
  </si>
  <si>
    <t>Bank Transfer</t>
  </si>
  <si>
    <t>West-David</t>
  </si>
  <si>
    <t>East-Alice</t>
  </si>
  <si>
    <t>North-Bob</t>
  </si>
  <si>
    <t>Eve</t>
  </si>
  <si>
    <t>West-Eve</t>
  </si>
  <si>
    <t>South-Eve</t>
  </si>
  <si>
    <t>North-David</t>
  </si>
  <si>
    <t>North-Eve</t>
  </si>
  <si>
    <t>North-Alice</t>
  </si>
  <si>
    <t>East-Eve</t>
  </si>
  <si>
    <t>South-Alice</t>
  </si>
  <si>
    <t>West-Charlie</t>
  </si>
  <si>
    <t>Sum of Net_Profit</t>
  </si>
  <si>
    <t>Row Labels</t>
  </si>
  <si>
    <t>Grand Total</t>
  </si>
  <si>
    <t>Jan</t>
  </si>
  <si>
    <t>Feb</t>
  </si>
  <si>
    <t>Mar</t>
  </si>
  <si>
    <t>Apr</t>
  </si>
  <si>
    <t>May</t>
  </si>
  <si>
    <t>Jun</t>
  </si>
  <si>
    <t>Jul</t>
  </si>
  <si>
    <t>Aug</t>
  </si>
  <si>
    <t>Sep</t>
  </si>
  <si>
    <t>Oct</t>
  </si>
  <si>
    <t>Nov</t>
  </si>
  <si>
    <t>Dec</t>
  </si>
  <si>
    <t>Sum of Gross_Sales</t>
  </si>
  <si>
    <t>Sum of Quantity_Sold</t>
  </si>
  <si>
    <t>Column1</t>
  </si>
  <si>
    <t>Sum of Profit_Margin</t>
  </si>
  <si>
    <t>Sum of Avg_Order_Value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</si>
</sst>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9" fontId="1" fillId="0" borderId="0" xfId="0" applyNumberFormat="1" applyFont="1"/>
  </cellXfs>
  <cellStyles count="1">
    <cellStyle name="Normal" xfId="0" builtinId="0"/>
  </cellStyles>
  <dxfs count="16">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Overview.xlsx]Calculations!PivotTable2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t>Monthly</a:t>
            </a:r>
            <a:r>
              <a:rPr lang="en-US" b="1" baseline="0"/>
              <a:t> Profit Trend</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Calculations!$B$5</c:f>
              <c:strCache>
                <c:ptCount val="1"/>
                <c:pt idx="0">
                  <c:v>Sum of Gross_Sales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Calculations!$A$6:$A$18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Calculations!$B$6:$B$18</c:f>
              <c:numCache>
                <c:formatCode>"$"#,##0</c:formatCode>
                <c:ptCount val="12"/>
                <c:pt idx="0">
                  <c:v>7488100.509999997</c:v>
                </c:pt>
                <c:pt idx="1">
                  <c:v>5627477.4499999974</c:v>
                </c:pt>
                <c:pt idx="2">
                  <c:v>6008259.4099999983</c:v>
                </c:pt>
                <c:pt idx="3">
                  <c:v>5468497.6199999992</c:v>
                </c:pt>
                <c:pt idx="4">
                  <c:v>5800626.5099999988</c:v>
                </c:pt>
                <c:pt idx="5">
                  <c:v>6142561.2299999986</c:v>
                </c:pt>
                <c:pt idx="6">
                  <c:v>4751432.4199999971</c:v>
                </c:pt>
                <c:pt idx="7">
                  <c:v>6716190.6099999985</c:v>
                </c:pt>
                <c:pt idx="8">
                  <c:v>4557015.5799999973</c:v>
                </c:pt>
                <c:pt idx="9">
                  <c:v>6560606.3899999997</c:v>
                </c:pt>
                <c:pt idx="10">
                  <c:v>4958930.1899999967</c:v>
                </c:pt>
                <c:pt idx="11">
                  <c:v>6250242.7899999972</c:v>
                </c:pt>
              </c:numCache>
            </c:numRef>
          </c:val>
          <c:smooth val="0"/>
          <c:extLst>
            <c:ext xmlns:c16="http://schemas.microsoft.com/office/drawing/2014/chart" uri="{C3380CC4-5D6E-409C-BE32-E72D297353CC}">
              <c16:uniqueId val="{00000001-F049-46F0-960C-ABAD99120BE2}"/>
            </c:ext>
          </c:extLst>
        </c:ser>
        <c:ser>
          <c:idx val="1"/>
          <c:order val="1"/>
          <c:tx>
            <c:strRef>
              <c:f>Calculations!$C$5</c:f>
              <c:strCache>
                <c:ptCount val="1"/>
                <c:pt idx="0">
                  <c:v>Sum of Net_Profit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Calculations!$A$6:$A$18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Calculations!$C$6:$C$18</c:f>
              <c:numCache>
                <c:formatCode>"$"#,##0</c:formatCode>
                <c:ptCount val="12"/>
                <c:pt idx="0">
                  <c:v>677764.59999999753</c:v>
                </c:pt>
                <c:pt idx="1">
                  <c:v>478053.07999999874</c:v>
                </c:pt>
                <c:pt idx="2">
                  <c:v>528631.80999999668</c:v>
                </c:pt>
                <c:pt idx="3">
                  <c:v>496006.81999999873</c:v>
                </c:pt>
                <c:pt idx="4">
                  <c:v>489472.14999999793</c:v>
                </c:pt>
                <c:pt idx="5">
                  <c:v>605992.19999999763</c:v>
                </c:pt>
                <c:pt idx="6">
                  <c:v>447678.7599999982</c:v>
                </c:pt>
                <c:pt idx="7">
                  <c:v>558417.6899999989</c:v>
                </c:pt>
                <c:pt idx="8">
                  <c:v>472940.51999999781</c:v>
                </c:pt>
                <c:pt idx="9">
                  <c:v>584679.82999999868</c:v>
                </c:pt>
                <c:pt idx="10">
                  <c:v>557812.05999999796</c:v>
                </c:pt>
                <c:pt idx="11">
                  <c:v>590397.54999999725</c:v>
                </c:pt>
              </c:numCache>
            </c:numRef>
          </c:val>
          <c:smooth val="0"/>
          <c:extLst>
            <c:ext xmlns:c16="http://schemas.microsoft.com/office/drawing/2014/chart" uri="{C3380CC4-5D6E-409C-BE32-E72D297353CC}">
              <c16:uniqueId val="{00000002-F049-46F0-960C-ABAD99120BE2}"/>
            </c:ext>
          </c:extLst>
        </c:ser>
        <c:dLbls>
          <c:showLegendKey val="0"/>
          <c:showVal val="0"/>
          <c:showCatName val="0"/>
          <c:showSerName val="0"/>
          <c:showPercent val="0"/>
          <c:showBubbleSize val="0"/>
        </c:dLbls>
        <c:marker val="1"/>
        <c:smooth val="0"/>
        <c:axId val="2057577936"/>
        <c:axId val="2057578416"/>
      </c:lineChart>
      <c:catAx>
        <c:axId val="20575779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Months</a:t>
                </a:r>
              </a:p>
            </c:rich>
          </c:tx>
          <c:layout>
            <c:manualLayout>
              <c:xMode val="edge"/>
              <c:yMode val="edge"/>
              <c:x val="0.45164734058133327"/>
              <c:y val="0.826786492677814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7578416"/>
        <c:crosses val="autoZero"/>
        <c:auto val="1"/>
        <c:lblAlgn val="ctr"/>
        <c:lblOffset val="100"/>
        <c:noMultiLvlLbl val="0"/>
      </c:catAx>
      <c:valAx>
        <c:axId val="205757841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Net</a:t>
                </a:r>
                <a:r>
                  <a:rPr lang="en-US" baseline="0"/>
                  <a:t> Profit</a:t>
                </a:r>
              </a:p>
            </c:rich>
          </c:tx>
          <c:layout>
            <c:manualLayout>
              <c:xMode val="edge"/>
              <c:yMode val="edge"/>
              <c:x val="2.3340627279358133E-2"/>
              <c:y val="0.3951757973716182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757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Overview.xlsx]Calculations!PivotTable4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Sales</a:t>
            </a:r>
            <a:r>
              <a:rPr lang="en-US" b="1" baseline="0"/>
              <a:t>  Rep </a:t>
            </a:r>
            <a:r>
              <a:rPr lang="en-US" baseline="0"/>
              <a:t>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Calculations!$G$9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Calculations!$F$10:$F$15</c:f>
              <c:strCache>
                <c:ptCount val="5"/>
                <c:pt idx="0">
                  <c:v>David</c:v>
                </c:pt>
                <c:pt idx="1">
                  <c:v>Eve</c:v>
                </c:pt>
                <c:pt idx="2">
                  <c:v>Alice</c:v>
                </c:pt>
                <c:pt idx="3">
                  <c:v>Bob</c:v>
                </c:pt>
                <c:pt idx="4">
                  <c:v>Charlie</c:v>
                </c:pt>
              </c:strCache>
            </c:strRef>
          </c:cat>
          <c:val>
            <c:numRef>
              <c:f>Calculations!$G$10:$G$15</c:f>
              <c:numCache>
                <c:formatCode>"$"#,##0</c:formatCode>
                <c:ptCount val="5"/>
                <c:pt idx="0">
                  <c:v>1501749.7599999942</c:v>
                </c:pt>
                <c:pt idx="1">
                  <c:v>1449081.8999999948</c:v>
                </c:pt>
                <c:pt idx="2">
                  <c:v>1294822.0099999965</c:v>
                </c:pt>
                <c:pt idx="3">
                  <c:v>1170800.2399999918</c:v>
                </c:pt>
                <c:pt idx="4">
                  <c:v>1071393.1599999974</c:v>
                </c:pt>
              </c:numCache>
            </c:numRef>
          </c:val>
          <c:extLst>
            <c:ext xmlns:c16="http://schemas.microsoft.com/office/drawing/2014/chart" uri="{C3380CC4-5D6E-409C-BE32-E72D297353CC}">
              <c16:uniqueId val="{00000000-D262-4185-AE7B-D670B7B6C290}"/>
            </c:ext>
          </c:extLst>
        </c:ser>
        <c:dLbls>
          <c:showLegendKey val="0"/>
          <c:showVal val="0"/>
          <c:showCatName val="0"/>
          <c:showSerName val="0"/>
          <c:showPercent val="0"/>
          <c:showBubbleSize val="0"/>
        </c:dLbls>
        <c:gapWidth val="115"/>
        <c:overlap val="-20"/>
        <c:axId val="98837536"/>
        <c:axId val="98828896"/>
      </c:barChart>
      <c:catAx>
        <c:axId val="9883753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r>
                  <a:rPr lang="en-US" baseline="0"/>
                  <a:t> Rep</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28896"/>
        <c:crosses val="autoZero"/>
        <c:auto val="1"/>
        <c:lblAlgn val="ctr"/>
        <c:lblOffset val="100"/>
        <c:noMultiLvlLbl val="0"/>
      </c:catAx>
      <c:valAx>
        <c:axId val="988288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r>
                  <a:rPr lang="en-US" baseline="0"/>
                  <a:t> REP PROFIT</a:t>
                </a:r>
                <a:endParaRPr lang="en-US"/>
              </a:p>
            </c:rich>
          </c:tx>
          <c:layout>
            <c:manualLayout>
              <c:xMode val="edge"/>
              <c:yMode val="edge"/>
              <c:x val="0.47812749014073092"/>
              <c:y val="0.8889581510644503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3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Amount Per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97142456281927E-2"/>
          <c:y val="0.26220581942661536"/>
          <c:w val="0.84264409486089253"/>
          <c:h val="0.46489241396173359"/>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East</c:v>
              </c:pt>
              <c:pt idx="1">
                <c:v>North</c:v>
              </c:pt>
              <c:pt idx="2">
                <c:v>South</c:v>
              </c:pt>
              <c:pt idx="3">
                <c:v>West</c:v>
              </c:pt>
            </c:strLit>
          </c:cat>
          <c:val>
            <c:numLit>
              <c:formatCode>General</c:formatCode>
              <c:ptCount val="4"/>
              <c:pt idx="0">
                <c:v>1259792.9300000006</c:v>
              </c:pt>
              <c:pt idx="1">
                <c:v>1369612.5100000005</c:v>
              </c:pt>
              <c:pt idx="2">
                <c:v>1154250.8599999989</c:v>
              </c:pt>
              <c:pt idx="3">
                <c:v>1235608.9300000006</c:v>
              </c:pt>
            </c:numLit>
          </c:val>
          <c:extLst>
            <c:ext xmlns:c16="http://schemas.microsoft.com/office/drawing/2014/chart" uri="{C3380CC4-5D6E-409C-BE32-E72D297353CC}">
              <c16:uniqueId val="{00000000-C7E0-40A6-8D13-A8F722211768}"/>
            </c:ext>
          </c:extLst>
        </c:ser>
        <c:dLbls>
          <c:showLegendKey val="0"/>
          <c:showVal val="0"/>
          <c:showCatName val="0"/>
          <c:showSerName val="0"/>
          <c:showPercent val="0"/>
          <c:showBubbleSize val="0"/>
        </c:dLbls>
        <c:gapWidth val="100"/>
        <c:overlap val="-24"/>
        <c:axId val="1133587039"/>
        <c:axId val="1133588479"/>
      </c:barChart>
      <c:catAx>
        <c:axId val="1133587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588479"/>
        <c:crosses val="autoZero"/>
        <c:auto val="1"/>
        <c:lblAlgn val="ctr"/>
        <c:lblOffset val="100"/>
        <c:noMultiLvlLbl val="0"/>
      </c:catAx>
      <c:valAx>
        <c:axId val="113358847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a:t>
                </a:r>
                <a:r>
                  <a:rPr lang="en-US" baseline="0"/>
                  <a:t> Amount</a:t>
                </a:r>
                <a:endParaRPr lang="en-US"/>
              </a:p>
            </c:rich>
          </c:tx>
          <c:layout>
            <c:manualLayout>
              <c:xMode val="edge"/>
              <c:yMode val="edge"/>
              <c:x val="7.9611645616595329E-3"/>
              <c:y val="0.3104211683590519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58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Overview.xlsx]Calculations!PivotTable3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Calculations!$G$1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4FD-429D-9322-935EBD0D6E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4FD-429D-9322-935EBD0D6E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4FD-429D-9322-935EBD0D6E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4FD-429D-9322-935EBD0D6E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Calculations!$F$2:$F$6</c:f>
              <c:strCache>
                <c:ptCount val="4"/>
                <c:pt idx="0">
                  <c:v>Food</c:v>
                </c:pt>
                <c:pt idx="1">
                  <c:v>Electronics</c:v>
                </c:pt>
                <c:pt idx="2">
                  <c:v>Furniture</c:v>
                </c:pt>
                <c:pt idx="3">
                  <c:v>Clothing</c:v>
                </c:pt>
              </c:strCache>
            </c:strRef>
          </c:cat>
          <c:val>
            <c:numRef>
              <c:f>Calculations!$G$2:$G$6</c:f>
              <c:numCache>
                <c:formatCode>"$"#,##0</c:formatCode>
                <c:ptCount val="4"/>
                <c:pt idx="0">
                  <c:v>15141885.649999995</c:v>
                </c:pt>
                <c:pt idx="1">
                  <c:v>17571040.57</c:v>
                </c:pt>
                <c:pt idx="2">
                  <c:v>18330280.559999991</c:v>
                </c:pt>
                <c:pt idx="3">
                  <c:v>19286733.93</c:v>
                </c:pt>
              </c:numCache>
            </c:numRef>
          </c:val>
          <c:extLst>
            <c:ext xmlns:c16="http://schemas.microsoft.com/office/drawing/2014/chart" uri="{C3380CC4-5D6E-409C-BE32-E72D297353CC}">
              <c16:uniqueId val="{00000008-F4FD-429D-9322-935EBD0D6E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Amount</a:t>
            </a:r>
          </a:p>
        </c:rich>
      </c:tx>
      <c:layout>
        <c:manualLayout>
          <c:xMode val="edge"/>
          <c:yMode val="edge"/>
          <c:x val="0.28111111111111109"/>
          <c:y val="4.77611790617999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495420.37000000005</c:v>
              </c:pt>
              <c:pt idx="1">
                <c:v>368919.35999999987</c:v>
              </c:pt>
              <c:pt idx="2">
                <c:v>402638.77000000014</c:v>
              </c:pt>
              <c:pt idx="3">
                <c:v>438992.6100000001</c:v>
              </c:pt>
              <c:pt idx="4">
                <c:v>389078.75999999983</c:v>
              </c:pt>
              <c:pt idx="5">
                <c:v>418458.34000000014</c:v>
              </c:pt>
              <c:pt idx="6">
                <c:v>374242.88000000024</c:v>
              </c:pt>
              <c:pt idx="7">
                <c:v>443171.27999999997</c:v>
              </c:pt>
              <c:pt idx="8">
                <c:v>367837.6</c:v>
              </c:pt>
              <c:pt idx="9">
                <c:v>460378.78</c:v>
              </c:pt>
              <c:pt idx="10">
                <c:v>467482.89999999991</c:v>
              </c:pt>
              <c:pt idx="11">
                <c:v>392643.58</c:v>
              </c:pt>
            </c:numLit>
          </c:val>
          <c:smooth val="0"/>
          <c:extLst>
            <c:ext xmlns:c16="http://schemas.microsoft.com/office/drawing/2014/chart" uri="{C3380CC4-5D6E-409C-BE32-E72D297353CC}">
              <c16:uniqueId val="{00000000-6185-4815-B87C-74D0E96C2860}"/>
            </c:ext>
          </c:extLst>
        </c:ser>
        <c:dLbls>
          <c:showLegendKey val="0"/>
          <c:showVal val="0"/>
          <c:showCatName val="0"/>
          <c:showSerName val="0"/>
          <c:showPercent val="0"/>
          <c:showBubbleSize val="0"/>
        </c:dLbls>
        <c:marker val="1"/>
        <c:smooth val="0"/>
        <c:axId val="1133599039"/>
        <c:axId val="1133589439"/>
      </c:lineChart>
      <c:catAx>
        <c:axId val="1133599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589439"/>
        <c:crosses val="autoZero"/>
        <c:auto val="1"/>
        <c:lblAlgn val="ctr"/>
        <c:lblOffset val="100"/>
        <c:noMultiLvlLbl val="0"/>
      </c:catAx>
      <c:valAx>
        <c:axId val="11335894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59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105704</xdr:colOff>
      <xdr:row>4</xdr:row>
      <xdr:rowOff>169128</xdr:rowOff>
    </xdr:from>
    <xdr:to>
      <xdr:col>2</xdr:col>
      <xdr:colOff>543575</xdr:colOff>
      <xdr:row>8</xdr:row>
      <xdr:rowOff>65794</xdr:rowOff>
    </xdr:to>
    <xdr:grpSp>
      <xdr:nvGrpSpPr>
        <xdr:cNvPr id="5" name="Group 4">
          <a:extLst>
            <a:ext uri="{FF2B5EF4-FFF2-40B4-BE49-F238E27FC236}">
              <a16:creationId xmlns:a16="http://schemas.microsoft.com/office/drawing/2014/main" id="{DB0BA270-D645-17A0-4CAE-26234F2D0F0B}"/>
            </a:ext>
          </a:extLst>
        </xdr:cNvPr>
        <xdr:cNvGrpSpPr/>
      </xdr:nvGrpSpPr>
      <xdr:grpSpPr>
        <a:xfrm>
          <a:off x="105704" y="921102"/>
          <a:ext cx="1666095" cy="648639"/>
          <a:chOff x="666751" y="819150"/>
          <a:chExt cx="1743075" cy="542925"/>
        </a:xfrm>
      </xdr:grpSpPr>
      <xdr:sp macro="" textlink="$U$10">
        <xdr:nvSpPr>
          <xdr:cNvPr id="3" name="Rectangle: Rounded Corners 2">
            <a:extLst>
              <a:ext uri="{FF2B5EF4-FFF2-40B4-BE49-F238E27FC236}">
                <a16:creationId xmlns:a16="http://schemas.microsoft.com/office/drawing/2014/main" id="{9275479E-66D8-31D7-1A6E-335CBE14B8BA}"/>
              </a:ext>
            </a:extLst>
          </xdr:cNvPr>
          <xdr:cNvSpPr/>
        </xdr:nvSpPr>
        <xdr:spPr>
          <a:xfrm>
            <a:off x="666751" y="819150"/>
            <a:ext cx="1743075" cy="542925"/>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A3DE3A1-DD2D-4911-90A3-44576C7E4D67}" type="TxLink">
              <a:rPr lang="en-US" sz="1100" b="0" i="0" u="none" strike="noStrike">
                <a:solidFill>
                  <a:srgbClr val="000000"/>
                </a:solidFill>
                <a:latin typeface="Calibri"/>
                <a:ea typeface="Calibri"/>
                <a:cs typeface="Calibri"/>
              </a:rPr>
              <a:pPr algn="ctr"/>
              <a:t>$6,487,847</a:t>
            </a:fld>
            <a:endParaRPr lang="en-US" sz="1100"/>
          </a:p>
        </xdr:txBody>
      </xdr:sp>
      <xdr:sp macro="" textlink="">
        <xdr:nvSpPr>
          <xdr:cNvPr id="4" name="Rectangle: Rounded Corners 3">
            <a:extLst>
              <a:ext uri="{FF2B5EF4-FFF2-40B4-BE49-F238E27FC236}">
                <a16:creationId xmlns:a16="http://schemas.microsoft.com/office/drawing/2014/main" id="{D5FC056F-3081-122C-F6DB-9324724E91AC}"/>
              </a:ext>
            </a:extLst>
          </xdr:cNvPr>
          <xdr:cNvSpPr/>
        </xdr:nvSpPr>
        <xdr:spPr>
          <a:xfrm>
            <a:off x="676275" y="838200"/>
            <a:ext cx="1733550" cy="200025"/>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Sum of Net Profit</a:t>
            </a:r>
          </a:p>
        </xdr:txBody>
      </xdr:sp>
    </xdr:grpSp>
    <xdr:clientData/>
  </xdr:twoCellAnchor>
  <xdr:twoCellAnchor>
    <xdr:from>
      <xdr:col>3</xdr:col>
      <xdr:colOff>258700</xdr:colOff>
      <xdr:row>4</xdr:row>
      <xdr:rowOff>184926</xdr:rowOff>
    </xdr:from>
    <xdr:to>
      <xdr:col>6</xdr:col>
      <xdr:colOff>92547</xdr:colOff>
      <xdr:row>8</xdr:row>
      <xdr:rowOff>81592</xdr:rowOff>
    </xdr:to>
    <xdr:grpSp>
      <xdr:nvGrpSpPr>
        <xdr:cNvPr id="30" name="Group 29">
          <a:extLst>
            <a:ext uri="{FF2B5EF4-FFF2-40B4-BE49-F238E27FC236}">
              <a16:creationId xmlns:a16="http://schemas.microsoft.com/office/drawing/2014/main" id="{8A11AD5F-4B9A-34C4-A9EB-00E06958CCFE}"/>
            </a:ext>
          </a:extLst>
        </xdr:cNvPr>
        <xdr:cNvGrpSpPr/>
      </xdr:nvGrpSpPr>
      <xdr:grpSpPr>
        <a:xfrm>
          <a:off x="2101036" y="936900"/>
          <a:ext cx="1676182" cy="648639"/>
          <a:chOff x="641090" y="831072"/>
          <a:chExt cx="1745280" cy="542925"/>
        </a:xfrm>
      </xdr:grpSpPr>
      <xdr:sp macro="" textlink="$U$13">
        <xdr:nvSpPr>
          <xdr:cNvPr id="31" name="Rectangle: Rounded Corners 30">
            <a:extLst>
              <a:ext uri="{FF2B5EF4-FFF2-40B4-BE49-F238E27FC236}">
                <a16:creationId xmlns:a16="http://schemas.microsoft.com/office/drawing/2014/main" id="{B173AA68-8172-1235-5511-2FB8D052C85D}"/>
              </a:ext>
            </a:extLst>
          </xdr:cNvPr>
          <xdr:cNvSpPr/>
        </xdr:nvSpPr>
        <xdr:spPr>
          <a:xfrm>
            <a:off x="643295" y="831072"/>
            <a:ext cx="1743075" cy="542925"/>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FD99A51-270C-46A2-A708-F5AF1739CC35}" type="TxLink">
              <a:rPr lang="en-US" sz="1100" b="0" i="0" u="none" strike="noStrike">
                <a:solidFill>
                  <a:srgbClr val="000000"/>
                </a:solidFill>
                <a:latin typeface="Calibri"/>
                <a:ea typeface="Calibri"/>
                <a:cs typeface="Calibri"/>
              </a:rPr>
              <a:pPr algn="ctr"/>
              <a:t>$70,329,941</a:t>
            </a:fld>
            <a:endParaRPr lang="en-US" sz="1100" b="0" i="0" u="none" strike="noStrike">
              <a:solidFill>
                <a:schemeClr val="tx1"/>
              </a:solidFill>
              <a:latin typeface="Calibri"/>
              <a:ea typeface="Calibri"/>
              <a:cs typeface="Calibri"/>
            </a:endParaRPr>
          </a:p>
        </xdr:txBody>
      </xdr:sp>
      <xdr:sp macro="" textlink="">
        <xdr:nvSpPr>
          <xdr:cNvPr id="32" name="Rectangle: Rounded Corners 31">
            <a:extLst>
              <a:ext uri="{FF2B5EF4-FFF2-40B4-BE49-F238E27FC236}">
                <a16:creationId xmlns:a16="http://schemas.microsoft.com/office/drawing/2014/main" id="{BC8114C6-BE2E-0781-1640-2460022042F1}"/>
              </a:ext>
            </a:extLst>
          </xdr:cNvPr>
          <xdr:cNvSpPr/>
        </xdr:nvSpPr>
        <xdr:spPr>
          <a:xfrm>
            <a:off x="641090" y="838200"/>
            <a:ext cx="1733550" cy="200025"/>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Sum of Gross Sales</a:t>
            </a:r>
          </a:p>
        </xdr:txBody>
      </xdr:sp>
    </xdr:grpSp>
    <xdr:clientData/>
  </xdr:twoCellAnchor>
  <xdr:twoCellAnchor>
    <xdr:from>
      <xdr:col>6</xdr:col>
      <xdr:colOff>385882</xdr:colOff>
      <xdr:row>4</xdr:row>
      <xdr:rowOff>170522</xdr:rowOff>
    </xdr:from>
    <xdr:to>
      <xdr:col>9</xdr:col>
      <xdr:colOff>219728</xdr:colOff>
      <xdr:row>8</xdr:row>
      <xdr:rowOff>67188</xdr:rowOff>
    </xdr:to>
    <xdr:grpSp>
      <xdr:nvGrpSpPr>
        <xdr:cNvPr id="36" name="Group 35">
          <a:extLst>
            <a:ext uri="{FF2B5EF4-FFF2-40B4-BE49-F238E27FC236}">
              <a16:creationId xmlns:a16="http://schemas.microsoft.com/office/drawing/2014/main" id="{2EE5F1B0-CC78-2ABF-61DE-B7CB53CDC1D0}"/>
            </a:ext>
          </a:extLst>
        </xdr:cNvPr>
        <xdr:cNvGrpSpPr/>
      </xdr:nvGrpSpPr>
      <xdr:grpSpPr>
        <a:xfrm>
          <a:off x="4070553" y="922496"/>
          <a:ext cx="1676182" cy="648639"/>
          <a:chOff x="666751" y="819150"/>
          <a:chExt cx="1743075" cy="542925"/>
        </a:xfrm>
      </xdr:grpSpPr>
      <xdr:sp macro="" textlink="$U$12">
        <xdr:nvSpPr>
          <xdr:cNvPr id="37" name="Rectangle: Rounded Corners 36">
            <a:extLst>
              <a:ext uri="{FF2B5EF4-FFF2-40B4-BE49-F238E27FC236}">
                <a16:creationId xmlns:a16="http://schemas.microsoft.com/office/drawing/2014/main" id="{119A1DC5-ADCF-8028-5264-03D1345FF01A}"/>
              </a:ext>
            </a:extLst>
          </xdr:cNvPr>
          <xdr:cNvSpPr/>
        </xdr:nvSpPr>
        <xdr:spPr>
          <a:xfrm>
            <a:off x="666751" y="819150"/>
            <a:ext cx="1743075" cy="542925"/>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D7EE44E-DDC3-49AA-A8F6-520CBAF79DDE}" type="TxLink">
              <a:rPr lang="en-US" sz="1100" b="1" i="0" u="none" strike="noStrike">
                <a:solidFill>
                  <a:srgbClr val="000000"/>
                </a:solidFill>
                <a:latin typeface="Calibri"/>
                <a:ea typeface="Calibri"/>
                <a:cs typeface="Calibri"/>
              </a:rPr>
              <a:pPr algn="ctr"/>
              <a:t>9%</a:t>
            </a:fld>
            <a:endParaRPr lang="en-US" sz="1100"/>
          </a:p>
        </xdr:txBody>
      </xdr:sp>
      <xdr:sp macro="" textlink="">
        <xdr:nvSpPr>
          <xdr:cNvPr id="38" name="Rectangle: Rounded Corners 37">
            <a:extLst>
              <a:ext uri="{FF2B5EF4-FFF2-40B4-BE49-F238E27FC236}">
                <a16:creationId xmlns:a16="http://schemas.microsoft.com/office/drawing/2014/main" id="{989B6AF4-15C9-964B-A7A4-462FF105630B}"/>
              </a:ext>
            </a:extLst>
          </xdr:cNvPr>
          <xdr:cNvSpPr/>
        </xdr:nvSpPr>
        <xdr:spPr>
          <a:xfrm>
            <a:off x="700946" y="842007"/>
            <a:ext cx="1696577" cy="196218"/>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Profit</a:t>
            </a:r>
            <a:r>
              <a:rPr lang="en-US" sz="1100" baseline="0"/>
              <a:t> Margin</a:t>
            </a:r>
            <a:endParaRPr lang="en-US" sz="1100"/>
          </a:p>
        </xdr:txBody>
      </xdr:sp>
    </xdr:grpSp>
    <xdr:clientData/>
  </xdr:twoCellAnchor>
  <xdr:twoCellAnchor>
    <xdr:from>
      <xdr:col>9</xdr:col>
      <xdr:colOff>594965</xdr:colOff>
      <xdr:row>4</xdr:row>
      <xdr:rowOff>170523</xdr:rowOff>
    </xdr:from>
    <xdr:to>
      <xdr:col>12</xdr:col>
      <xdr:colOff>428812</xdr:colOff>
      <xdr:row>8</xdr:row>
      <xdr:rowOff>67189</xdr:rowOff>
    </xdr:to>
    <xdr:grpSp>
      <xdr:nvGrpSpPr>
        <xdr:cNvPr id="39" name="Group 38">
          <a:extLst>
            <a:ext uri="{FF2B5EF4-FFF2-40B4-BE49-F238E27FC236}">
              <a16:creationId xmlns:a16="http://schemas.microsoft.com/office/drawing/2014/main" id="{B8AEA234-DE79-3CDF-E3DF-2355BE1B8BA7}"/>
            </a:ext>
          </a:extLst>
        </xdr:cNvPr>
        <xdr:cNvGrpSpPr/>
      </xdr:nvGrpSpPr>
      <xdr:grpSpPr>
        <a:xfrm>
          <a:off x="6121972" y="922497"/>
          <a:ext cx="1676182" cy="648639"/>
          <a:chOff x="666751" y="819150"/>
          <a:chExt cx="1743075" cy="542925"/>
        </a:xfrm>
      </xdr:grpSpPr>
      <xdr:sp macro="" textlink="$W$18">
        <xdr:nvSpPr>
          <xdr:cNvPr id="40" name="Rectangle: Rounded Corners 39">
            <a:extLst>
              <a:ext uri="{FF2B5EF4-FFF2-40B4-BE49-F238E27FC236}">
                <a16:creationId xmlns:a16="http://schemas.microsoft.com/office/drawing/2014/main" id="{2F566E29-E26F-F009-6E40-66D474F6917D}"/>
              </a:ext>
            </a:extLst>
          </xdr:cNvPr>
          <xdr:cNvSpPr/>
        </xdr:nvSpPr>
        <xdr:spPr>
          <a:xfrm>
            <a:off x="666751" y="819150"/>
            <a:ext cx="1743075" cy="542925"/>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9F821BB-4FD3-417E-A933-3E97569EC5F1}" type="TxLink">
              <a:rPr lang="en-US" sz="1100" b="0" i="0" u="none" strike="noStrike">
                <a:solidFill>
                  <a:srgbClr val="000000"/>
                </a:solidFill>
                <a:latin typeface="Calibri"/>
                <a:ea typeface="Calibri"/>
                <a:cs typeface="Calibri"/>
              </a:rPr>
              <a:pPr algn="ctr"/>
              <a:t>$25,355</a:t>
            </a:fld>
            <a:endParaRPr lang="en-US" sz="1100"/>
          </a:p>
        </xdr:txBody>
      </xdr:sp>
      <xdr:sp macro="" textlink="">
        <xdr:nvSpPr>
          <xdr:cNvPr id="41" name="Rectangle: Rounded Corners 40">
            <a:extLst>
              <a:ext uri="{FF2B5EF4-FFF2-40B4-BE49-F238E27FC236}">
                <a16:creationId xmlns:a16="http://schemas.microsoft.com/office/drawing/2014/main" id="{75EE7FC6-529B-A9C0-8389-F4A1CBE1C371}"/>
              </a:ext>
            </a:extLst>
          </xdr:cNvPr>
          <xdr:cNvSpPr/>
        </xdr:nvSpPr>
        <xdr:spPr>
          <a:xfrm>
            <a:off x="676275" y="838200"/>
            <a:ext cx="1733550" cy="200025"/>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Sum</a:t>
            </a:r>
            <a:r>
              <a:rPr lang="en-US" sz="1100" baseline="0"/>
              <a:t> of Quantity sold</a:t>
            </a:r>
            <a:endParaRPr lang="en-US" sz="1100"/>
          </a:p>
        </xdr:txBody>
      </xdr:sp>
    </xdr:grpSp>
    <xdr:clientData/>
  </xdr:twoCellAnchor>
  <xdr:twoCellAnchor>
    <xdr:from>
      <xdr:col>13</xdr:col>
      <xdr:colOff>153561</xdr:colOff>
      <xdr:row>4</xdr:row>
      <xdr:rowOff>170522</xdr:rowOff>
    </xdr:from>
    <xdr:to>
      <xdr:col>15</xdr:col>
      <xdr:colOff>591432</xdr:colOff>
      <xdr:row>8</xdr:row>
      <xdr:rowOff>67188</xdr:rowOff>
    </xdr:to>
    <xdr:grpSp>
      <xdr:nvGrpSpPr>
        <xdr:cNvPr id="42" name="Group 41">
          <a:extLst>
            <a:ext uri="{FF2B5EF4-FFF2-40B4-BE49-F238E27FC236}">
              <a16:creationId xmlns:a16="http://schemas.microsoft.com/office/drawing/2014/main" id="{A3A48FFD-D772-BF21-FE38-FF92D519A9F4}"/>
            </a:ext>
          </a:extLst>
        </xdr:cNvPr>
        <xdr:cNvGrpSpPr/>
      </xdr:nvGrpSpPr>
      <xdr:grpSpPr>
        <a:xfrm>
          <a:off x="8137015" y="922496"/>
          <a:ext cx="1666095" cy="648639"/>
          <a:chOff x="666751" y="819150"/>
          <a:chExt cx="1743075" cy="542925"/>
        </a:xfrm>
      </xdr:grpSpPr>
      <xdr:sp macro="" textlink="$U$16">
        <xdr:nvSpPr>
          <xdr:cNvPr id="43" name="Rectangle: Rounded Corners 42">
            <a:extLst>
              <a:ext uri="{FF2B5EF4-FFF2-40B4-BE49-F238E27FC236}">
                <a16:creationId xmlns:a16="http://schemas.microsoft.com/office/drawing/2014/main" id="{FB600313-B76B-AEFF-4C60-6F549DA26079}"/>
              </a:ext>
            </a:extLst>
          </xdr:cNvPr>
          <xdr:cNvSpPr/>
        </xdr:nvSpPr>
        <xdr:spPr>
          <a:xfrm>
            <a:off x="666751" y="819150"/>
            <a:ext cx="1743075" cy="542925"/>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A75C8A0-7A8E-4635-A3C4-274234DE5C82}" type="TxLink">
              <a:rPr lang="en-US" sz="1100" b="0" i="0" u="none" strike="noStrike">
                <a:solidFill>
                  <a:srgbClr val="000000"/>
                </a:solidFill>
                <a:latin typeface="Calibri"/>
                <a:ea typeface="Calibri"/>
                <a:cs typeface="Calibri"/>
              </a:rPr>
              <a:pPr algn="ctr"/>
              <a:t>$2,774</a:t>
            </a:fld>
            <a:endParaRPr lang="en-US" sz="1100" b="0" i="0" u="none" strike="noStrike">
              <a:solidFill>
                <a:srgbClr val="000000"/>
              </a:solidFill>
              <a:latin typeface="Calibri"/>
              <a:ea typeface="Calibri"/>
              <a:cs typeface="Calibri"/>
            </a:endParaRPr>
          </a:p>
        </xdr:txBody>
      </xdr:sp>
      <xdr:sp macro="" textlink="">
        <xdr:nvSpPr>
          <xdr:cNvPr id="44" name="Rectangle: Rounded Corners 43">
            <a:extLst>
              <a:ext uri="{FF2B5EF4-FFF2-40B4-BE49-F238E27FC236}">
                <a16:creationId xmlns:a16="http://schemas.microsoft.com/office/drawing/2014/main" id="{3CF34DDD-A5B8-EA59-AF90-E16950E75A63}"/>
              </a:ext>
            </a:extLst>
          </xdr:cNvPr>
          <xdr:cNvSpPr/>
        </xdr:nvSpPr>
        <xdr:spPr>
          <a:xfrm>
            <a:off x="676275" y="838200"/>
            <a:ext cx="1733550" cy="200025"/>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Sum of AVG</a:t>
            </a:r>
            <a:r>
              <a:rPr lang="en-US" sz="1100" baseline="0"/>
              <a:t>  Order Value</a:t>
            </a:r>
            <a:endParaRPr lang="en-US" sz="1100"/>
          </a:p>
        </xdr:txBody>
      </xdr:sp>
    </xdr:grpSp>
    <xdr:clientData/>
  </xdr:twoCellAnchor>
  <xdr:twoCellAnchor>
    <xdr:from>
      <xdr:col>0</xdr:col>
      <xdr:colOff>11615</xdr:colOff>
      <xdr:row>0</xdr:row>
      <xdr:rowOff>23232</xdr:rowOff>
    </xdr:from>
    <xdr:to>
      <xdr:col>18</xdr:col>
      <xdr:colOff>604023</xdr:colOff>
      <xdr:row>4</xdr:row>
      <xdr:rowOff>34847</xdr:rowOff>
    </xdr:to>
    <xdr:sp macro="" textlink="">
      <xdr:nvSpPr>
        <xdr:cNvPr id="45" name="Rectangle 44">
          <a:extLst>
            <a:ext uri="{FF2B5EF4-FFF2-40B4-BE49-F238E27FC236}">
              <a16:creationId xmlns:a16="http://schemas.microsoft.com/office/drawing/2014/main" id="{7625984F-1B24-9B8C-9DCD-EC78D87F6741}"/>
            </a:ext>
          </a:extLst>
        </xdr:cNvPr>
        <xdr:cNvSpPr/>
      </xdr:nvSpPr>
      <xdr:spPr>
        <a:xfrm>
          <a:off x="11615" y="23232"/>
          <a:ext cx="11464847" cy="755030"/>
        </a:xfrm>
        <a:prstGeom prst="rect">
          <a:avLst/>
        </a:prstGeom>
        <a:solidFill>
          <a:schemeClr val="tx2"/>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solidFill>
                <a:schemeClr val="bg1"/>
              </a:solidFill>
            </a:rPr>
            <a:t>SALES</a:t>
          </a:r>
          <a:r>
            <a:rPr lang="en-US" sz="2400" b="1" baseline="0">
              <a:solidFill>
                <a:schemeClr val="bg1"/>
              </a:solidFill>
            </a:rPr>
            <a:t> OVERVIEW</a:t>
          </a:r>
          <a:endParaRPr lang="en-US" sz="2400" b="1">
            <a:solidFill>
              <a:schemeClr val="bg1"/>
            </a:solidFill>
          </a:endParaRPr>
        </a:p>
      </xdr:txBody>
    </xdr:sp>
    <xdr:clientData/>
  </xdr:twoCellAnchor>
  <xdr:twoCellAnchor>
    <xdr:from>
      <xdr:col>7</xdr:col>
      <xdr:colOff>81310</xdr:colOff>
      <xdr:row>20</xdr:row>
      <xdr:rowOff>139391</xdr:rowOff>
    </xdr:from>
    <xdr:to>
      <xdr:col>16</xdr:col>
      <xdr:colOff>127774</xdr:colOff>
      <xdr:row>31</xdr:row>
      <xdr:rowOff>15241</xdr:rowOff>
    </xdr:to>
    <xdr:graphicFrame macro="">
      <xdr:nvGraphicFramePr>
        <xdr:cNvPr id="46" name="Chart 45">
          <a:extLst>
            <a:ext uri="{FF2B5EF4-FFF2-40B4-BE49-F238E27FC236}">
              <a16:creationId xmlns:a16="http://schemas.microsoft.com/office/drawing/2014/main" id="{B40160D3-8134-4CD7-809A-82F15D7C9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151006</xdr:rowOff>
    </xdr:from>
    <xdr:to>
      <xdr:col>9</xdr:col>
      <xdr:colOff>569176</xdr:colOff>
      <xdr:row>20</xdr:row>
      <xdr:rowOff>23882</xdr:rowOff>
    </xdr:to>
    <xdr:graphicFrame macro="">
      <xdr:nvGraphicFramePr>
        <xdr:cNvPr id="47" name="Chart 46">
          <a:extLst>
            <a:ext uri="{FF2B5EF4-FFF2-40B4-BE49-F238E27FC236}">
              <a16:creationId xmlns:a16="http://schemas.microsoft.com/office/drawing/2014/main" id="{205DFF90-5404-4F4B-A316-8F01440E3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11615</xdr:colOff>
      <xdr:row>32</xdr:row>
      <xdr:rowOff>1</xdr:rowOff>
    </xdr:from>
    <xdr:to>
      <xdr:col>16</xdr:col>
      <xdr:colOff>151006</xdr:colOff>
      <xdr:row>42</xdr:row>
      <xdr:rowOff>61704</xdr:rowOff>
    </xdr:to>
    <xdr:graphicFrame macro="">
      <xdr:nvGraphicFramePr>
        <xdr:cNvPr id="48" name="Chart 47">
          <a:extLst>
            <a:ext uri="{FF2B5EF4-FFF2-40B4-BE49-F238E27FC236}">
              <a16:creationId xmlns:a16="http://schemas.microsoft.com/office/drawing/2014/main" id="{A16F15F9-932C-4BA9-A2ED-13BB2AC7B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69695</xdr:colOff>
      <xdr:row>20</xdr:row>
      <xdr:rowOff>162621</xdr:rowOff>
    </xdr:from>
    <xdr:to>
      <xdr:col>6</xdr:col>
      <xdr:colOff>545945</xdr:colOff>
      <xdr:row>31</xdr:row>
      <xdr:rowOff>38471</xdr:rowOff>
    </xdr:to>
    <xdr:graphicFrame macro="">
      <xdr:nvGraphicFramePr>
        <xdr:cNvPr id="50" name="Chart 49">
          <a:extLst>
            <a:ext uri="{FF2B5EF4-FFF2-40B4-BE49-F238E27FC236}">
              <a16:creationId xmlns:a16="http://schemas.microsoft.com/office/drawing/2014/main" id="{BDAFA16B-1B07-422A-839A-C7AFB4807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92926</xdr:colOff>
      <xdr:row>8</xdr:row>
      <xdr:rowOff>139392</xdr:rowOff>
    </xdr:from>
    <xdr:to>
      <xdr:col>16</xdr:col>
      <xdr:colOff>185853</xdr:colOff>
      <xdr:row>20</xdr:row>
      <xdr:rowOff>12268</xdr:rowOff>
    </xdr:to>
    <xdr:graphicFrame macro="">
      <xdr:nvGraphicFramePr>
        <xdr:cNvPr id="51" name="Chart 50">
          <a:extLst>
            <a:ext uri="{FF2B5EF4-FFF2-40B4-BE49-F238E27FC236}">
              <a16:creationId xmlns:a16="http://schemas.microsoft.com/office/drawing/2014/main" id="{27D85139-1286-4C40-868F-1ED19140D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278781</xdr:colOff>
      <xdr:row>4</xdr:row>
      <xdr:rowOff>104543</xdr:rowOff>
    </xdr:from>
    <xdr:to>
      <xdr:col>18</xdr:col>
      <xdr:colOff>592409</xdr:colOff>
      <xdr:row>14</xdr:row>
      <xdr:rowOff>11617</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3E5927D1-FD2F-49C2-AC36-31FF329081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50319" y="837235"/>
              <a:ext cx="1522571" cy="1738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313628</xdr:colOff>
      <xdr:row>14</xdr:row>
      <xdr:rowOff>174239</xdr:rowOff>
    </xdr:from>
    <xdr:to>
      <xdr:col>19</xdr:col>
      <xdr:colOff>0</xdr:colOff>
      <xdr:row>23</xdr:row>
      <xdr:rowOff>104543</xdr:rowOff>
    </xdr:to>
    <mc:AlternateContent xmlns:mc="http://schemas.openxmlformats.org/markup-compatibility/2006" xmlns:a14="http://schemas.microsoft.com/office/drawing/2010/main">
      <mc:Choice Requires="a14">
        <xdr:graphicFrame macro="">
          <xdr:nvGraphicFramePr>
            <xdr:cNvPr id="57" name="Product_Category">
              <a:extLst>
                <a:ext uri="{FF2B5EF4-FFF2-40B4-BE49-F238E27FC236}">
                  <a16:creationId xmlns:a16="http://schemas.microsoft.com/office/drawing/2014/main" id="{4C9BEBDC-B493-4035-9647-CA9E40A2982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985166" y="2738662"/>
              <a:ext cx="1499786" cy="1578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313630</xdr:colOff>
      <xdr:row>24</xdr:row>
      <xdr:rowOff>69696</xdr:rowOff>
    </xdr:from>
    <xdr:to>
      <xdr:col>19</xdr:col>
      <xdr:colOff>23232</xdr:colOff>
      <xdr:row>31</xdr:row>
      <xdr:rowOff>11616</xdr:rowOff>
    </xdr:to>
    <mc:AlternateContent xmlns:mc="http://schemas.openxmlformats.org/markup-compatibility/2006" xmlns:a14="http://schemas.microsoft.com/office/drawing/2010/main">
      <mc:Choice Requires="a14">
        <xdr:graphicFrame macro="">
          <xdr:nvGraphicFramePr>
            <xdr:cNvPr id="58" name="Customer_Type">
              <a:extLst>
                <a:ext uri="{FF2B5EF4-FFF2-40B4-BE49-F238E27FC236}">
                  <a16:creationId xmlns:a16="http://schemas.microsoft.com/office/drawing/2014/main" id="{9C201F44-5419-44B1-B759-B67B57E772B3}"/>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9985168" y="4465850"/>
              <a:ext cx="1523016" cy="1224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325246</xdr:colOff>
      <xdr:row>32</xdr:row>
      <xdr:rowOff>11615</xdr:rowOff>
    </xdr:from>
    <xdr:to>
      <xdr:col>19</xdr:col>
      <xdr:colOff>1</xdr:colOff>
      <xdr:row>42</xdr:row>
      <xdr:rowOff>73318</xdr:rowOff>
    </xdr:to>
    <mc:AlternateContent xmlns:mc="http://schemas.openxmlformats.org/markup-compatibility/2006" xmlns:a14="http://schemas.microsoft.com/office/drawing/2010/main">
      <mc:Choice Requires="a14">
        <xdr:graphicFrame macro="">
          <xdr:nvGraphicFramePr>
            <xdr:cNvPr id="59" name="Sales_Channel">
              <a:extLst>
                <a:ext uri="{FF2B5EF4-FFF2-40B4-BE49-F238E27FC236}">
                  <a16:creationId xmlns:a16="http://schemas.microsoft.com/office/drawing/2014/main" id="{4F92D830-1EE6-4412-809C-ED24D8363AC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9996784" y="5873153"/>
              <a:ext cx="1488169" cy="1893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1.65528634259" createdVersion="8" refreshedVersion="8" minRefreshableVersion="3" recordCount="1000" xr:uid="{C9C7D233-D921-4809-AF98-51EAD6BC64DE}">
  <cacheSource type="worksheet">
    <worksheetSource name="_Salesdata"/>
  </cacheSource>
  <cacheFields count="22">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11-14T00:00:00"/>
        <d v="2023-08-30T00:00:00"/>
        <d v="2024-01-01T00:00:00"/>
        <d v="2023-02-06T00:00:00"/>
        <d v="2023-12-05T00:00:00"/>
        <d v="2023-09-17T00:00:00"/>
        <d v="2023-12-28T00:00:00"/>
        <d v="2023-10-20T00:00:00"/>
        <d v="2023-06-03T00:00:00"/>
        <d v="2023-06-09T00:00:00"/>
        <d v="2023-11-09T00:00:00"/>
        <d v="2023-09-01T00:00:00"/>
        <d v="2023-02-20T00:00:00"/>
        <d v="2023-06-06T00:00:00"/>
        <d v="2023-05-17T00:00:00"/>
        <d v="2023-06-19T00:00:00"/>
        <d v="2023-10-16T00:00:00"/>
        <d v="2023-09-24T00:00:00"/>
        <d v="2023-01-07T00:00:00"/>
        <d v="2023-11-16T00:00:00"/>
        <d v="2023-04-18T00:00:00"/>
        <d v="2023-01-15T00:00:00"/>
        <d v="2023-02-03T00:00:00"/>
        <d v="2023-12-18T00:00:00"/>
        <d v="2023-05-16T00:00:00"/>
        <d v="2023-09-30T00:00:00"/>
        <d v="2023-07-21T00:00:00"/>
        <d v="2023-09-14T00:00:00"/>
        <d v="2023-11-18T00:00:00"/>
        <d v="2023-02-09T00:00:00"/>
        <d v="2023-09-08T00:00:00"/>
        <d v="2023-07-06T00:00:00"/>
        <d v="2023-09-26T00:00:00"/>
        <d v="2023-01-09T00:00:00"/>
        <d v="2023-10-18T00:00:00"/>
        <d v="2023-08-14T00:00:00"/>
        <d v="2023-12-11T00:00:00"/>
        <d v="2023-06-10T00:00:00"/>
        <d v="2023-03-08T00:00:00"/>
        <d v="2023-09-21T00:00:00"/>
        <d v="2023-12-16T00:00:00"/>
        <d v="2023-08-23T00:00:00"/>
        <d v="2023-08-17T00:00:00"/>
        <d v="2023-06-02T00:00:00"/>
        <d v="2023-06-26T00:00:00"/>
        <d v="2023-05-29T00:00:00"/>
        <d v="2023-10-23T00:00:00"/>
        <d v="2023-11-12T00:00:00"/>
        <d v="2023-05-27T00:00:00"/>
        <d v="2023-03-30T00:00:00"/>
        <d v="2023-08-13T00:00:00"/>
        <d v="2023-06-20T00:00:00"/>
        <d v="2023-04-09T00:00:00"/>
        <d v="2023-10-29T00:00:00"/>
        <d v="2023-12-30T00:00:00"/>
        <d v="2023-04-27T00:00:00"/>
        <d v="2023-04-08T00:00:00"/>
        <d v="2023-04-21T00:00:00"/>
        <d v="2023-03-04T00:00:00"/>
        <d v="2023-11-17T00:00:00"/>
        <d v="2023-01-16T00:00:00"/>
        <d v="2023-09-27T00:00:00"/>
        <d v="2023-03-13T00:00:00"/>
        <d v="2023-11-01T00:00:00"/>
        <d v="2023-11-25T00:00:00"/>
        <d v="2023-07-18T00:00:00"/>
        <d v="2023-08-10T00:00:00"/>
        <d v="2023-12-03T00:00:00"/>
        <d v="2023-08-08T00:00:00"/>
        <d v="2023-08-16T00:00:00"/>
        <d v="2023-08-07T00:00:00"/>
        <d v="2023-06-22T00:00:00"/>
        <d v="2023-05-11T00:00:00"/>
        <d v="2023-08-27T00:00:00"/>
        <d v="2023-02-19T00:00:00"/>
        <d v="2023-12-12T00:00:00"/>
        <d v="2023-11-24T00:00:00"/>
        <d v="2023-04-05T00:00:00"/>
        <d v="2023-12-04T00:00:00"/>
        <d v="2023-05-03T00:00:00"/>
        <d v="2023-02-04T00:00:00"/>
        <d v="2023-03-28T00:00:00"/>
        <d v="2023-11-02T00:00:00"/>
        <d v="2023-04-29T00:00:00"/>
        <d v="2023-08-03T00:00:00"/>
        <d v="2023-10-24T00:00:00"/>
        <d v="2023-09-12T00:00:00"/>
        <d v="2023-10-12T00:00:00"/>
        <d v="2023-03-25T00:00:00"/>
        <d v="2023-12-15T00:00:00"/>
        <d v="2023-06-25T00:00:00"/>
        <d v="2023-01-05T00:00:00"/>
        <d v="2023-01-11T00:00:00"/>
        <d v="2023-03-14T00:00:00"/>
        <d v="2023-11-05T00:00:00"/>
        <d v="2023-04-23T00:00:00"/>
        <d v="2023-02-13T00:00:00"/>
        <d v="2023-09-11T00:00:00"/>
        <d v="2023-10-15T00:00:00"/>
        <d v="2023-10-09T00:00:00"/>
        <d v="2023-11-11T00:00:00"/>
        <d v="2023-04-28T00:00:00"/>
        <d v="2023-01-31T00:00:00"/>
        <d v="2023-03-24T00:00:00"/>
        <d v="2023-10-07T00:00:00"/>
        <d v="2023-11-15T00:00:00"/>
        <d v="2023-01-01T00:00:00"/>
        <d v="2023-07-12T00:00:00"/>
        <d v="2023-09-19T00:00:00"/>
        <d v="2023-02-11T00:00:00"/>
        <d v="2023-05-25T00:00:00"/>
        <d v="2023-03-18T00:00:00"/>
        <d v="2023-07-02T00:00:00"/>
        <d v="2023-11-20T00:00:00"/>
        <d v="2023-01-12T00:00:00"/>
        <d v="2023-08-21T00:00:00"/>
        <d v="2023-05-08T00:00:00"/>
        <d v="2023-02-07T00:00:00"/>
        <d v="2023-08-24T00:00:00"/>
        <d v="2023-11-29T00:00:00"/>
        <d v="2023-06-29T00:00:00"/>
        <d v="2023-03-16T00:00:00"/>
        <d v="2023-04-14T00:00:00"/>
        <d v="2023-01-03T00:00:00"/>
        <d v="2023-09-02T00:00:00"/>
        <d v="2023-05-31T00:00:00"/>
        <d v="2023-11-06T00:00:00"/>
        <d v="2023-03-19T00:00:00"/>
        <d v="2023-07-17T00:00:00"/>
        <d v="2023-02-28T00:00:00"/>
        <d v="2023-01-08T00:00:00"/>
        <d v="2023-12-14T00:00:00"/>
        <d v="2023-06-11T00:00:00"/>
        <d v="2023-11-22T00:00:00"/>
        <d v="2023-06-27T00:00:00"/>
        <d v="2023-07-27T00:00:00"/>
        <d v="2023-10-22T00:00:00"/>
        <d v="2023-11-19T00:00:00"/>
        <d v="2023-04-11T00:00:00"/>
        <d v="2023-09-07T00:00:00"/>
        <d v="2023-09-18T00:00:00"/>
        <d v="2023-01-24T00:00:00"/>
        <d v="2023-05-28T00:00:00"/>
        <d v="2023-02-18T00:00:00"/>
        <d v="2023-07-04T00:00:00"/>
        <d v="2023-07-07T00:00:00"/>
        <d v="2023-08-11T00:00:00"/>
        <d v="2023-06-21T00:00:00"/>
        <d v="2023-05-02T00:00:00"/>
        <d v="2023-05-05T00:00:00"/>
        <d v="2023-04-30T00:00:00"/>
        <d v="2023-10-14T00:00:00"/>
        <d v="2023-08-01T00:00:00"/>
        <d v="2023-08-15T00:00:00"/>
        <d v="2023-09-23T00:00:00"/>
        <d v="2023-07-20T00:00:00"/>
        <d v="2023-07-13T00:00:00"/>
        <d v="2023-07-16T00:00:00"/>
        <d v="2023-01-23T00:00:00"/>
        <d v="2023-02-10T00:00:00"/>
        <d v="2023-06-15T00:00:00"/>
        <d v="2023-07-29T00:00:00"/>
        <d v="2023-07-28T00:00:00"/>
        <d v="2023-10-28T00:00:00"/>
        <d v="2023-12-22T00:00:00"/>
        <d v="2023-02-15T00:00:00"/>
        <d v="2023-08-29T00:00:00"/>
        <d v="2023-09-04T00:00:00"/>
        <d v="2023-02-05T00:00:00"/>
        <d v="2023-03-29T00:00:00"/>
        <d v="2023-12-25T00:00:00"/>
        <d v="2023-08-31T00:00:00"/>
        <d v="2023-01-25T00:00:00"/>
        <d v="2023-12-10T00:00:00"/>
        <d v="2023-01-17T00:00:00"/>
        <d v="2023-11-30T00:00:00"/>
        <d v="2023-11-28T00:00:00"/>
        <d v="2023-06-01T00:00:00"/>
        <d v="2023-01-29T00:00:00"/>
        <d v="2023-11-03T00:00:00"/>
        <d v="2023-03-06T00:00:00"/>
        <d v="2023-11-07T00:00:00"/>
        <d v="2023-06-04T00:00:00"/>
        <d v="2023-03-23T00:00:00"/>
        <d v="2023-03-02T00:00:00"/>
        <d v="2023-05-09T00:00:00"/>
        <d v="2023-07-08T00:00:00"/>
        <d v="2023-09-25T00:00:00"/>
        <d v="2023-06-30T00:00:00"/>
        <d v="2023-01-14T00:00:00"/>
        <d v="2023-05-26T00:00:00"/>
        <d v="2023-04-16T00:00:00"/>
        <d v="2023-11-10T00:00:00"/>
        <d v="2023-04-15T00:00:00"/>
        <d v="2023-05-30T00:00:00"/>
        <d v="2023-06-14T00:00:00"/>
        <d v="2023-01-04T00:00:00"/>
        <d v="2023-08-06T00:00:00"/>
        <d v="2023-09-16T00:00:00"/>
        <d v="2023-06-17T00:00:00"/>
        <d v="2023-12-27T00:00:00"/>
        <d v="2023-06-23T00:00:00"/>
        <d v="2023-07-01T00:00:00"/>
        <d v="2023-10-02T00:00:00"/>
        <d v="2023-08-25T00:00:00"/>
        <d v="2023-02-14T00:00:00"/>
        <d v="2023-04-02T00:00:00"/>
        <d v="2023-09-20T00:00:00"/>
        <d v="2023-10-21T00:00:00"/>
        <d v="2023-10-01T00:00:00"/>
        <d v="2023-10-13T00:00:00"/>
        <d v="2023-06-18T00:00:00"/>
        <d v="2023-12-23T00:00:00"/>
        <d v="2023-05-07T00:00:00"/>
        <d v="2023-02-16T00:00:00"/>
        <d v="2023-08-12T00:00:00"/>
        <d v="2023-12-26T00:00:00"/>
        <d v="2023-11-13T00:00:00"/>
        <d v="2023-05-21T00:00:00"/>
        <d v="2023-06-05T00:00:00"/>
        <d v="2023-02-02T00:00:00"/>
        <d v="2023-08-22T00:00:00"/>
        <d v="2023-02-08T00:00:00"/>
        <d v="2023-01-18T00:00:00"/>
        <d v="2023-07-15T00:00:00"/>
        <d v="2023-11-08T00:00:00"/>
        <d v="2023-08-05T00:00:00"/>
        <d v="2023-01-21T00:00:00"/>
        <d v="2023-12-29T00:00:00"/>
        <d v="2023-04-04T00:00:00"/>
        <d v="2023-03-26T00:00:00"/>
        <d v="2023-12-31T00:00:00"/>
        <d v="2023-05-10T00:00:00"/>
        <d v="2023-01-10T00:00:00"/>
        <d v="2023-04-17T00:00:00"/>
        <d v="2023-09-13T00:00:00"/>
        <d v="2023-07-30T00:00:00"/>
        <d v="2023-06-28T00:00:00"/>
        <d v="2023-06-07T00:00:00"/>
        <d v="2023-01-26T00:00:00"/>
        <d v="2023-12-01T00:00:00"/>
        <d v="2023-04-07T00:00:00"/>
        <d v="2023-11-26T00:00:00"/>
        <d v="2023-03-01T00:00:00"/>
        <d v="2023-03-17T00:00:00"/>
        <d v="2023-10-08T00:00:00"/>
        <d v="2023-01-27T00:00:00"/>
        <d v="2023-12-21T00:00:00"/>
        <d v="2023-04-24T00:00:00"/>
        <d v="2023-10-05T00:00:00"/>
        <d v="2023-04-12T00:00:00"/>
        <d v="2023-02-23T00:00:00"/>
        <d v="2023-10-19T00:00:00"/>
        <d v="2023-02-24T00:00:00"/>
        <d v="2023-05-19T00:00:00"/>
        <d v="2023-06-13T00:00:00"/>
        <d v="2023-05-23T00:00:00"/>
        <d v="2023-09-06T00:00:00"/>
        <d v="2023-07-25T00:00:00"/>
        <d v="2023-03-15T00:00:00"/>
        <d v="2023-01-02T00:00:00"/>
        <d v="2023-05-04T00:00:00"/>
        <d v="2023-03-09T00:00:00"/>
        <d v="2023-12-20T00:00:00"/>
        <d v="2023-11-27T00:00:00"/>
        <d v="2023-10-30T00:00:00"/>
        <d v="2023-12-02T00:00:00"/>
        <d v="2023-12-13T00:00:00"/>
        <d v="2023-12-19T00:00:00"/>
        <d v="2023-07-23T00:00:00"/>
        <d v="2023-08-19T00:00:00"/>
        <d v="2023-01-13T00:00:00"/>
        <d v="2023-07-19T00:00:00"/>
        <d v="2023-01-20T00:00:00"/>
        <d v="2023-03-27T00:00:00"/>
        <d v="2023-03-21T00:00:00"/>
        <d v="2023-12-07T00:00:00"/>
        <d v="2023-08-26T00:00:00"/>
        <d v="2023-03-10T00:00:00"/>
        <d v="2023-07-14T00:00:00"/>
        <d v="2023-09-03T00:00:00"/>
        <d v="2023-03-03T00:00:00"/>
        <d v="2023-03-11T00:00:00"/>
        <d v="2023-02-22T00:00:00"/>
        <d v="2023-07-09T00:00:00"/>
        <d v="2023-01-22T00:00:00"/>
        <d v="2023-07-03T00:00:00"/>
        <d v="2023-09-29T00:00:00"/>
        <d v="2023-07-11T00:00:00"/>
        <d v="2023-03-05T00:00:00"/>
        <d v="2023-10-10T00:00:00"/>
        <d v="2023-05-12T00:00:00"/>
        <d v="2023-04-25T00:00:00"/>
        <d v="2023-04-03T00:00:00"/>
        <d v="2023-03-22T00:00:00"/>
        <d v="2023-05-14T00:00:00"/>
        <d v="2023-03-31T00:00:00"/>
        <d v="2023-02-25T00:00:00"/>
        <d v="2023-02-01T00:00:00"/>
        <d v="2023-05-20T00:00:00"/>
        <d v="2023-10-11T00:00:00"/>
        <d v="2023-08-09T00:00:00"/>
        <d v="2023-12-08T00:00:00"/>
        <d v="2023-08-02T00:00:00"/>
        <d v="2023-05-24T00:00:00"/>
        <d v="2023-06-24T00:00:00"/>
        <d v="2023-12-06T00:00:00"/>
        <d v="2023-07-22T00:00:00"/>
        <d v="2023-10-31T00:00:00"/>
        <d v="2023-10-27T00:00:00"/>
        <d v="2023-05-13T00:00:00"/>
        <d v="2023-04-19T00:00:00"/>
        <d v="2023-04-06T00:00:00"/>
        <d v="2023-06-12T00:00:00"/>
        <d v="2023-08-04T00:00:00"/>
        <d v="2023-05-22T00:00:00"/>
        <d v="2023-02-27T00:00:00"/>
        <d v="2023-09-28T00:00:00"/>
        <d v="2023-06-08T00:00:00"/>
        <d v="2023-04-22T00:00:00"/>
        <d v="2023-02-21T00:00:00"/>
        <d v="2023-04-20T00:00:00"/>
        <d v="2023-05-18T00:00:00"/>
        <d v="2023-07-05T00:00:00"/>
        <d v="2023-01-06T00:00:00"/>
        <d v="2023-04-13T00:00:00"/>
        <d v="2023-07-10T00:00:00"/>
        <d v="2023-07-24T00:00:00"/>
        <d v="2023-07-31T00:00:00"/>
        <d v="2023-09-22T00:00:00"/>
        <d v="2023-01-19T00:00:00"/>
        <d v="2023-08-20T00:00:00"/>
        <d v="2023-04-26T00:00:00"/>
        <d v="2023-09-15T00:00:00"/>
        <d v="2023-07-26T00:00:00"/>
        <d v="2023-10-26T00:00:00"/>
        <d v="2023-10-04T00:00:00"/>
        <d v="2023-03-20T00:00:00"/>
        <d v="2023-11-23T00:00:00"/>
        <d v="2023-02-26T00:00:00"/>
      </sharedItems>
      <fieldGroup par="19"/>
    </cacheField>
    <cacheField name="Sales_Rep" numFmtId="0">
      <sharedItems count="5">
        <s v="Bob"/>
        <s v="Alice"/>
        <s v="David"/>
        <s v="Charlie"/>
        <s v="Eve"/>
      </sharedItems>
    </cacheField>
    <cacheField name="Region" numFmtId="0">
      <sharedItems count="4">
        <s v="East"/>
        <s v="West"/>
        <s v="North"/>
        <s v="South"/>
      </sharedItems>
    </cacheField>
    <cacheField name="Sales_Amount" numFmtId="164">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Clothing"/>
        <s v="Electronics"/>
        <s v="Food"/>
        <s v="Furniture"/>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Gross_Sales" numFmtId="164">
      <sharedItems containsSemiMixedTypes="0" containsString="0" containsNumber="1" minValue="211.18" maxValue="252147.36"/>
    </cacheField>
    <cacheField name="Total Cost" numFmtId="164">
      <sharedItems containsSemiMixedTypes="0" containsString="0" containsNumber="1" minValue="60.28" maxValue="235808.09"/>
    </cacheField>
    <cacheField name="Net_Profit" numFmtId="164">
      <sharedItems containsSemiMixedTypes="0" containsString="0" containsNumber="1" minValue="17.360000000000127" maxValue="23441.10999999952"/>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 name="Profit_Margin" numFmtId="0" formula="Net_Profit/Gross_Sales" databaseField="0"/>
    <cacheField name="Avg_Order_Value" numFmtId="0" formula="Gross_Sales/Quantity_Sold" databaseField="0"/>
  </cacheFields>
  <extLst>
    <ext xmlns:x14="http://schemas.microsoft.com/office/spreadsheetml/2009/9/main" uri="{725AE2AE-9491-48be-B2B4-4EB974FC3084}">
      <x14:pivotCacheDefinition pivotCacheId="1457243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90"/>
    <x v="0"/>
    <x v="0"/>
    <x v="0"/>
    <n v="6575.91"/>
    <n v="1"/>
    <x v="0"/>
    <n v="60.28"/>
    <n v="260.73"/>
    <x v="0"/>
    <n v="0.17"/>
    <s v="Cash"/>
    <x v="0"/>
    <s v="East-Bob"/>
    <n v="260.73"/>
    <n v="60.28"/>
    <n v="200.45000000000002"/>
  </r>
  <r>
    <n v="1077"/>
    <x v="1"/>
    <x v="1"/>
    <x v="1"/>
    <n v="8660.1200000000008"/>
    <n v="25"/>
    <x v="1"/>
    <n v="61.5"/>
    <n v="258.91999999999899"/>
    <x v="1"/>
    <n v="0.17"/>
    <s v="Credit Card"/>
    <x v="0"/>
    <s v="West-Alice"/>
    <n v="6472.9999999999745"/>
    <n v="1537.5"/>
    <n v="4935.4999999999745"/>
  </r>
  <r>
    <n v="1078"/>
    <x v="2"/>
    <x v="2"/>
    <x v="0"/>
    <n v="8377.57"/>
    <n v="42"/>
    <x v="2"/>
    <n v="63.41"/>
    <n v="314.93"/>
    <x v="0"/>
    <n v="0.03"/>
    <s v="Cash"/>
    <x v="1"/>
    <s v="East-David"/>
    <n v="13227.06"/>
    <n v="2663.22"/>
    <n v="10563.84"/>
  </r>
  <r>
    <n v="1026"/>
    <x v="3"/>
    <x v="0"/>
    <x v="1"/>
    <n v="961.47"/>
    <n v="34"/>
    <x v="1"/>
    <n v="68.33"/>
    <n v="219.07999999999899"/>
    <x v="1"/>
    <n v="0.02"/>
    <s v="Credit Card"/>
    <x v="0"/>
    <s v="West-Bob"/>
    <n v="7448.7199999999657"/>
    <n v="2323.2199999999998"/>
    <n v="5125.4999999999654"/>
  </r>
  <r>
    <n v="1008"/>
    <x v="4"/>
    <x v="3"/>
    <x v="0"/>
    <n v="9583.5499999999993"/>
    <n v="27"/>
    <x v="1"/>
    <n v="68.989999999999995"/>
    <n v="429.29"/>
    <x v="0"/>
    <n v="0.18"/>
    <s v="Credit Card"/>
    <x v="1"/>
    <s v="East-Charlie"/>
    <n v="11590.83"/>
    <n v="1862.7299999999998"/>
    <n v="9728.1"/>
  </r>
  <r>
    <n v="1100"/>
    <x v="5"/>
    <x v="3"/>
    <x v="2"/>
    <n v="4795.12"/>
    <n v="17"/>
    <x v="1"/>
    <n v="83.64"/>
    <n v="528.49"/>
    <x v="1"/>
    <n v="0.13"/>
    <s v="Credit Card"/>
    <x v="0"/>
    <s v="North-Charlie"/>
    <n v="8984.33"/>
    <n v="1421.88"/>
    <n v="7562.45"/>
  </r>
  <r>
    <n v="1086"/>
    <x v="6"/>
    <x v="0"/>
    <x v="1"/>
    <n v="1837.37"/>
    <n v="46"/>
    <x v="3"/>
    <n v="83.86"/>
    <n v="526.14"/>
    <x v="0"/>
    <n v="0.11"/>
    <s v="Credit Card"/>
    <x v="0"/>
    <s v="West-Bob"/>
    <n v="24202.44"/>
    <n v="3857.56"/>
    <n v="20344.879999999997"/>
  </r>
  <r>
    <n v="1086"/>
    <x v="7"/>
    <x v="2"/>
    <x v="3"/>
    <n v="3577.07"/>
    <n v="32"/>
    <x v="3"/>
    <n v="84.86"/>
    <n v="517.17999999999995"/>
    <x v="0"/>
    <n v="0.2"/>
    <s v="Credit Card"/>
    <x v="1"/>
    <s v="South-David"/>
    <n v="16549.759999999998"/>
    <n v="2715.52"/>
    <n v="13834.239999999998"/>
  </r>
  <r>
    <n v="1090"/>
    <x v="8"/>
    <x v="2"/>
    <x v="3"/>
    <n v="6106.64"/>
    <n v="47"/>
    <x v="3"/>
    <n v="85.35"/>
    <n v="360.539999999999"/>
    <x v="1"/>
    <n v="0.28000000000000003"/>
    <s v="Cash"/>
    <x v="0"/>
    <s v="South-David"/>
    <n v="16945.379999999954"/>
    <n v="4011.45"/>
    <n v="12933.929999999953"/>
  </r>
  <r>
    <n v="1093"/>
    <x v="9"/>
    <x v="0"/>
    <x v="3"/>
    <n v="4391.38"/>
    <n v="38"/>
    <x v="2"/>
    <n v="86.59"/>
    <n v="390.89"/>
    <x v="0"/>
    <n v="0.25"/>
    <s v="Credit Card"/>
    <x v="0"/>
    <s v="South-Bob"/>
    <n v="14853.82"/>
    <n v="3290.42"/>
    <n v="11563.4"/>
  </r>
  <r>
    <n v="1016"/>
    <x v="10"/>
    <x v="3"/>
    <x v="3"/>
    <n v="3402.92"/>
    <n v="24"/>
    <x v="3"/>
    <n v="88.44"/>
    <n v="338.94"/>
    <x v="1"/>
    <n v="0.28999999999999998"/>
    <s v="Cash"/>
    <x v="0"/>
    <s v="South-Charlie"/>
    <n v="8134.5599999999995"/>
    <n v="2122.56"/>
    <n v="6012"/>
  </r>
  <r>
    <n v="1099"/>
    <x v="7"/>
    <x v="2"/>
    <x v="3"/>
    <n v="7859.22"/>
    <n v="23"/>
    <x v="0"/>
    <n v="93.45"/>
    <n v="181.62"/>
    <x v="0"/>
    <n v="0.3"/>
    <s v="Bank Transfer"/>
    <x v="1"/>
    <s v="South-David"/>
    <n v="4177.26"/>
    <n v="2149.35"/>
    <n v="2027.9100000000003"/>
  </r>
  <r>
    <n v="1019"/>
    <x v="11"/>
    <x v="2"/>
    <x v="1"/>
    <n v="2550.84"/>
    <n v="16"/>
    <x v="0"/>
    <n v="97.24"/>
    <n v="487.03"/>
    <x v="1"/>
    <n v="0.22"/>
    <s v="Bank Transfer"/>
    <x v="1"/>
    <s v="West-David"/>
    <n v="7792.48"/>
    <n v="1555.84"/>
    <n v="6236.6399999999994"/>
  </r>
  <r>
    <n v="1017"/>
    <x v="12"/>
    <x v="3"/>
    <x v="2"/>
    <n v="8189.57"/>
    <n v="16"/>
    <x v="3"/>
    <n v="102.23"/>
    <n v="167.12"/>
    <x v="1"/>
    <n v="0.04"/>
    <s v="Credit Card"/>
    <x v="1"/>
    <s v="North-Charlie"/>
    <n v="2673.92"/>
    <n v="1635.68"/>
    <n v="1038.24"/>
  </r>
  <r>
    <n v="1033"/>
    <x v="13"/>
    <x v="1"/>
    <x v="0"/>
    <n v="4602.17"/>
    <n v="32"/>
    <x v="2"/>
    <n v="108.99"/>
    <n v="351.6"/>
    <x v="0"/>
    <n v="0.27"/>
    <s v="Credit Card"/>
    <x v="1"/>
    <s v="East-Alice"/>
    <n v="11251.2"/>
    <n v="3487.68"/>
    <n v="7763.52"/>
  </r>
  <r>
    <n v="1050"/>
    <x v="14"/>
    <x v="0"/>
    <x v="2"/>
    <n v="2254.91"/>
    <n v="45"/>
    <x v="3"/>
    <n v="112.35"/>
    <n v="586.17999999999995"/>
    <x v="0"/>
    <n v="0.28000000000000003"/>
    <s v="Credit Card"/>
    <x v="1"/>
    <s v="North-Bob"/>
    <n v="26378.1"/>
    <n v="5055.75"/>
    <n v="21322.35"/>
  </r>
  <r>
    <n v="1002"/>
    <x v="15"/>
    <x v="4"/>
    <x v="1"/>
    <n v="1263.76"/>
    <n v="18"/>
    <x v="2"/>
    <n v="117.63"/>
    <n v="576.44000000000005"/>
    <x v="1"/>
    <n v="0.18"/>
    <s v="Credit Card"/>
    <x v="1"/>
    <s v="West-Eve"/>
    <n v="10375.920000000002"/>
    <n v="2117.34"/>
    <n v="8258.5800000000017"/>
  </r>
  <r>
    <n v="1053"/>
    <x v="16"/>
    <x v="0"/>
    <x v="2"/>
    <n v="2235.83"/>
    <n v="48"/>
    <x v="3"/>
    <n v="121.19"/>
    <n v="487.65"/>
    <x v="1"/>
    <n v="0.18"/>
    <s v="Cash"/>
    <x v="1"/>
    <s v="North-Bob"/>
    <n v="23407.199999999997"/>
    <n v="5817.12"/>
    <n v="17590.079999999998"/>
  </r>
  <r>
    <n v="1005"/>
    <x v="17"/>
    <x v="4"/>
    <x v="3"/>
    <n v="4453.43"/>
    <n v="6"/>
    <x v="2"/>
    <n v="122.5"/>
    <n v="385.83"/>
    <x v="0"/>
    <n v="0.1"/>
    <s v="Cash"/>
    <x v="1"/>
    <s v="South-Eve"/>
    <n v="2314.98"/>
    <n v="735"/>
    <n v="1579.98"/>
  </r>
  <r>
    <n v="1014"/>
    <x v="10"/>
    <x v="2"/>
    <x v="2"/>
    <n v="6016.92"/>
    <n v="9"/>
    <x v="1"/>
    <n v="132.47"/>
    <n v="316.39"/>
    <x v="1"/>
    <n v="0.14000000000000001"/>
    <s v="Credit Card"/>
    <x v="0"/>
    <s v="North-David"/>
    <n v="2847.5099999999998"/>
    <n v="1192.23"/>
    <n v="1655.2799999999997"/>
  </r>
  <r>
    <n v="1034"/>
    <x v="18"/>
    <x v="2"/>
    <x v="1"/>
    <n v="3677.9"/>
    <n v="28"/>
    <x v="3"/>
    <n v="137.47"/>
    <n v="234.63"/>
    <x v="1"/>
    <n v="0.27"/>
    <s v="Bank Transfer"/>
    <x v="1"/>
    <s v="West-David"/>
    <n v="6569.6399999999994"/>
    <n v="3849.16"/>
    <n v="2720.4799999999996"/>
  </r>
  <r>
    <n v="1051"/>
    <x v="19"/>
    <x v="0"/>
    <x v="1"/>
    <n v="803.25"/>
    <n v="31"/>
    <x v="3"/>
    <n v="144.88"/>
    <n v="175.29"/>
    <x v="1"/>
    <n v="7.0000000000000007E-2"/>
    <s v="Bank Transfer"/>
    <x v="0"/>
    <s v="West-Bob"/>
    <n v="5433.99"/>
    <n v="4491.28"/>
    <n v="942.71"/>
  </r>
  <r>
    <n v="1061"/>
    <x v="20"/>
    <x v="4"/>
    <x v="2"/>
    <n v="3774.02"/>
    <n v="47"/>
    <x v="1"/>
    <n v="146.27000000000001"/>
    <n v="498.46"/>
    <x v="1"/>
    <n v="0.06"/>
    <s v="Cash"/>
    <x v="1"/>
    <s v="North-Eve"/>
    <n v="23427.62"/>
    <n v="6874.6900000000005"/>
    <n v="16552.93"/>
  </r>
  <r>
    <n v="1027"/>
    <x v="21"/>
    <x v="0"/>
    <x v="1"/>
    <n v="6261.2"/>
    <n v="26"/>
    <x v="2"/>
    <n v="149.11000000000001"/>
    <n v="477.67"/>
    <x v="0"/>
    <n v="0.14000000000000001"/>
    <s v="Cash"/>
    <x v="1"/>
    <s v="West-Bob"/>
    <n v="12419.42"/>
    <n v="3876.8600000000006"/>
    <n v="8542.56"/>
  </r>
  <r>
    <n v="1052"/>
    <x v="22"/>
    <x v="0"/>
    <x v="2"/>
    <n v="5053.97"/>
    <n v="18"/>
    <x v="3"/>
    <n v="152.75"/>
    <n v="267.22000000000003"/>
    <x v="0"/>
    <n v="0.09"/>
    <s v="Cash"/>
    <x v="0"/>
    <s v="North-Bob"/>
    <n v="4809.9600000000009"/>
    <n v="2749.5"/>
    <n v="2060.4600000000009"/>
  </r>
  <r>
    <n v="1073"/>
    <x v="23"/>
    <x v="4"/>
    <x v="1"/>
    <n v="3196.5"/>
    <n v="40"/>
    <x v="2"/>
    <n v="157.15"/>
    <n v="436.53"/>
    <x v="1"/>
    <n v="0.04"/>
    <s v="Cash"/>
    <x v="1"/>
    <s v="West-Eve"/>
    <n v="17461.199999999997"/>
    <n v="6286"/>
    <n v="11175.199999999997"/>
  </r>
  <r>
    <n v="1062"/>
    <x v="24"/>
    <x v="3"/>
    <x v="2"/>
    <n v="8495.6200000000008"/>
    <n v="46"/>
    <x v="3"/>
    <n v="159.32"/>
    <n v="303.36"/>
    <x v="1"/>
    <n v="0.03"/>
    <s v="Cash"/>
    <x v="1"/>
    <s v="North-Charlie"/>
    <n v="13954.560000000001"/>
    <n v="7328.7199999999993"/>
    <n v="6625.840000000002"/>
  </r>
  <r>
    <n v="1084"/>
    <x v="25"/>
    <x v="1"/>
    <x v="0"/>
    <n v="9532.8700000000008"/>
    <n v="30"/>
    <x v="2"/>
    <n v="169"/>
    <n v="381.91999999999899"/>
    <x v="0"/>
    <n v="0.26"/>
    <s v="Cash"/>
    <x v="1"/>
    <s v="East-Alice"/>
    <n v="11457.599999999969"/>
    <n v="5070"/>
    <n v="6387.5999999999694"/>
  </r>
  <r>
    <n v="1017"/>
    <x v="26"/>
    <x v="2"/>
    <x v="0"/>
    <n v="3388.69"/>
    <n v="1"/>
    <x v="2"/>
    <n v="172.59"/>
    <n v="404.69"/>
    <x v="0"/>
    <n v="0.28999999999999998"/>
    <s v="Bank Transfer"/>
    <x v="0"/>
    <s v="East-David"/>
    <n v="404.69"/>
    <n v="172.59"/>
    <n v="232.1"/>
  </r>
  <r>
    <n v="1074"/>
    <x v="27"/>
    <x v="2"/>
    <x v="3"/>
    <n v="8389.93"/>
    <n v="29"/>
    <x v="3"/>
    <n v="173.67"/>
    <n v="565.62"/>
    <x v="0"/>
    <n v="0.3"/>
    <s v="Cash"/>
    <x v="0"/>
    <s v="South-David"/>
    <n v="16402.98"/>
    <n v="5036.4299999999994"/>
    <n v="11366.55"/>
  </r>
  <r>
    <n v="1004"/>
    <x v="28"/>
    <x v="1"/>
    <x v="0"/>
    <n v="7211.48"/>
    <n v="1"/>
    <x v="2"/>
    <n v="182.99"/>
    <n v="211.18"/>
    <x v="0"/>
    <n v="0.27"/>
    <s v="Bank Transfer"/>
    <x v="1"/>
    <s v="East-Alice"/>
    <n v="211.18"/>
    <n v="182.99"/>
    <n v="28.189999999999998"/>
  </r>
  <r>
    <n v="1020"/>
    <x v="29"/>
    <x v="3"/>
    <x v="0"/>
    <n v="2102.3200000000002"/>
    <n v="29"/>
    <x v="1"/>
    <n v="184.05"/>
    <n v="675.91"/>
    <x v="0"/>
    <n v="0.1"/>
    <s v="Cash"/>
    <x v="1"/>
    <s v="East-Charlie"/>
    <n v="19601.39"/>
    <n v="5337.4500000000007"/>
    <n v="14263.939999999999"/>
  </r>
  <r>
    <n v="1087"/>
    <x v="30"/>
    <x v="3"/>
    <x v="2"/>
    <n v="119.72"/>
    <n v="20"/>
    <x v="0"/>
    <n v="193.27"/>
    <n v="297.69"/>
    <x v="1"/>
    <n v="0.22"/>
    <s v="Cash"/>
    <x v="0"/>
    <s v="North-Charlie"/>
    <n v="5953.8"/>
    <n v="3865.4"/>
    <n v="2088.4"/>
  </r>
  <r>
    <n v="1053"/>
    <x v="31"/>
    <x v="3"/>
    <x v="0"/>
    <n v="4396.8100000000004"/>
    <n v="11"/>
    <x v="1"/>
    <n v="200.56"/>
    <n v="540.38"/>
    <x v="1"/>
    <n v="0.18"/>
    <s v="Bank Transfer"/>
    <x v="0"/>
    <s v="East-Charlie"/>
    <n v="5944.18"/>
    <n v="2206.16"/>
    <n v="3738.0200000000004"/>
  </r>
  <r>
    <n v="1090"/>
    <x v="32"/>
    <x v="4"/>
    <x v="2"/>
    <n v="7350.77"/>
    <n v="11"/>
    <x v="1"/>
    <n v="210.33"/>
    <n v="552.29"/>
    <x v="0"/>
    <n v="0.18"/>
    <s v="Cash"/>
    <x v="1"/>
    <s v="North-Eve"/>
    <n v="6075.19"/>
    <n v="2313.63"/>
    <n v="3761.5599999999995"/>
  </r>
  <r>
    <n v="1067"/>
    <x v="33"/>
    <x v="3"/>
    <x v="2"/>
    <n v="1875.71"/>
    <n v="48"/>
    <x v="1"/>
    <n v="210.63"/>
    <n v="533.57999999999902"/>
    <x v="1"/>
    <n v="0.04"/>
    <s v="Bank Transfer"/>
    <x v="0"/>
    <s v="North-Charlie"/>
    <n v="25611.839999999953"/>
    <n v="10110.24"/>
    <n v="15501.599999999953"/>
  </r>
  <r>
    <n v="1098"/>
    <x v="2"/>
    <x v="0"/>
    <x v="3"/>
    <n v="2370.7199999999998"/>
    <n v="11"/>
    <x v="0"/>
    <n v="213.41"/>
    <n v="503.36"/>
    <x v="0"/>
    <n v="0.27"/>
    <s v="Bank Transfer"/>
    <x v="0"/>
    <s v="South-Bob"/>
    <n v="5536.96"/>
    <n v="2347.5099999999998"/>
    <n v="3189.4500000000003"/>
  </r>
  <r>
    <n v="1059"/>
    <x v="34"/>
    <x v="1"/>
    <x v="2"/>
    <n v="5097.4799999999996"/>
    <n v="28"/>
    <x v="1"/>
    <n v="224.32"/>
    <n v="715.06"/>
    <x v="0"/>
    <n v="0.01"/>
    <s v="Credit Card"/>
    <x v="0"/>
    <s v="North-Alice"/>
    <n v="20021.68"/>
    <n v="6280.96"/>
    <n v="13740.720000000001"/>
  </r>
  <r>
    <n v="1093"/>
    <x v="35"/>
    <x v="2"/>
    <x v="1"/>
    <n v="6885.89"/>
    <n v="6"/>
    <x v="2"/>
    <n v="235.12"/>
    <n v="677.5"/>
    <x v="0"/>
    <n v="0.16"/>
    <s v="Credit Card"/>
    <x v="0"/>
    <s v="West-David"/>
    <n v="4065"/>
    <n v="1410.72"/>
    <n v="2654.2799999999997"/>
  </r>
  <r>
    <n v="1045"/>
    <x v="36"/>
    <x v="1"/>
    <x v="1"/>
    <n v="6400.11"/>
    <n v="22"/>
    <x v="0"/>
    <n v="241.85"/>
    <n v="613.09"/>
    <x v="0"/>
    <n v="0.06"/>
    <s v="Cash"/>
    <x v="0"/>
    <s v="West-Alice"/>
    <n v="13487.980000000001"/>
    <n v="5320.7"/>
    <n v="8167.2800000000016"/>
  </r>
  <r>
    <n v="1096"/>
    <x v="37"/>
    <x v="3"/>
    <x v="3"/>
    <n v="2320.5100000000002"/>
    <n v="6"/>
    <x v="3"/>
    <n v="252.62"/>
    <n v="742"/>
    <x v="1"/>
    <n v="0.22"/>
    <s v="Credit Card"/>
    <x v="1"/>
    <s v="South-Charlie"/>
    <n v="4452"/>
    <n v="1515.72"/>
    <n v="2936.2799999999997"/>
  </r>
  <r>
    <n v="1005"/>
    <x v="38"/>
    <x v="1"/>
    <x v="2"/>
    <n v="4426.26"/>
    <n v="12"/>
    <x v="0"/>
    <n v="253.29"/>
    <n v="683.78"/>
    <x v="1"/>
    <n v="0.25"/>
    <s v="Credit Card"/>
    <x v="0"/>
    <s v="North-Alice"/>
    <n v="8205.36"/>
    <n v="3039.48"/>
    <n v="5165.880000000001"/>
  </r>
  <r>
    <n v="1015"/>
    <x v="39"/>
    <x v="2"/>
    <x v="3"/>
    <n v="4631.2299999999996"/>
    <n v="30"/>
    <x v="2"/>
    <n v="261.56"/>
    <n v="371.4"/>
    <x v="0"/>
    <n v="0.2"/>
    <s v="Bank Transfer"/>
    <x v="1"/>
    <s v="South-David"/>
    <n v="11142"/>
    <n v="7846.8"/>
    <n v="3295.2"/>
  </r>
  <r>
    <n v="1074"/>
    <x v="40"/>
    <x v="0"/>
    <x v="2"/>
    <n v="6310.56"/>
    <n v="19"/>
    <x v="3"/>
    <n v="278.67"/>
    <n v="423.13"/>
    <x v="1"/>
    <n v="0.24"/>
    <s v="Credit Card"/>
    <x v="0"/>
    <s v="North-Bob"/>
    <n v="8039.47"/>
    <n v="5294.7300000000005"/>
    <n v="2744.74"/>
  </r>
  <r>
    <n v="1027"/>
    <x v="41"/>
    <x v="0"/>
    <x v="0"/>
    <n v="4036.36"/>
    <n v="4"/>
    <x v="1"/>
    <n v="282.61"/>
    <n v="548.25"/>
    <x v="1"/>
    <n v="0.17"/>
    <s v="Credit Card"/>
    <x v="0"/>
    <s v="East-Bob"/>
    <n v="2193"/>
    <n v="1130.44"/>
    <n v="1062.56"/>
  </r>
  <r>
    <n v="1016"/>
    <x v="42"/>
    <x v="4"/>
    <x v="1"/>
    <n v="777.74"/>
    <n v="7"/>
    <x v="2"/>
    <n v="282.94"/>
    <n v="779.32999999999902"/>
    <x v="0"/>
    <n v="0.28000000000000003"/>
    <s v="Credit Card"/>
    <x v="0"/>
    <s v="West-Eve"/>
    <n v="5455.3099999999931"/>
    <n v="1980.58"/>
    <n v="3474.7299999999932"/>
  </r>
  <r>
    <n v="1059"/>
    <x v="43"/>
    <x v="0"/>
    <x v="1"/>
    <n v="279.43"/>
    <n v="47"/>
    <x v="3"/>
    <n v="287.17"/>
    <n v="657.44"/>
    <x v="0"/>
    <n v="0.14000000000000001"/>
    <s v="Credit Card"/>
    <x v="1"/>
    <s v="West-Bob"/>
    <n v="30899.680000000004"/>
    <n v="13496.990000000002"/>
    <n v="17402.690000000002"/>
  </r>
  <r>
    <n v="1051"/>
    <x v="16"/>
    <x v="1"/>
    <x v="1"/>
    <n v="7617"/>
    <n v="43"/>
    <x v="0"/>
    <n v="287.99"/>
    <n v="666.64"/>
    <x v="0"/>
    <n v="0"/>
    <s v="Bank Transfer"/>
    <x v="0"/>
    <s v="West-Alice"/>
    <n v="28665.52"/>
    <n v="12383.57"/>
    <n v="16281.95"/>
  </r>
  <r>
    <n v="1071"/>
    <x v="44"/>
    <x v="2"/>
    <x v="2"/>
    <n v="6664.17"/>
    <n v="35"/>
    <x v="0"/>
    <n v="295.82"/>
    <n v="684.67"/>
    <x v="1"/>
    <n v="0.03"/>
    <s v="Credit Card"/>
    <x v="0"/>
    <s v="North-David"/>
    <n v="23963.449999999997"/>
    <n v="10353.699999999999"/>
    <n v="13609.749999999998"/>
  </r>
  <r>
    <n v="1069"/>
    <x v="45"/>
    <x v="1"/>
    <x v="2"/>
    <n v="4494.8"/>
    <n v="30"/>
    <x v="1"/>
    <n v="300.01"/>
    <n v="477.67999999999898"/>
    <x v="1"/>
    <n v="0.11"/>
    <s v="Bank Transfer"/>
    <x v="1"/>
    <s v="North-Alice"/>
    <n v="14330.399999999969"/>
    <n v="9000.2999999999993"/>
    <n v="5330.0999999999694"/>
  </r>
  <r>
    <n v="1023"/>
    <x v="46"/>
    <x v="2"/>
    <x v="3"/>
    <n v="9519.76"/>
    <n v="42"/>
    <x v="2"/>
    <n v="309.77999999999997"/>
    <n v="350.38"/>
    <x v="0"/>
    <n v="0.19"/>
    <s v="Credit Card"/>
    <x v="1"/>
    <s v="South-David"/>
    <n v="14715.96"/>
    <n v="13010.759999999998"/>
    <n v="1705.2000000000007"/>
  </r>
  <r>
    <n v="1070"/>
    <x v="47"/>
    <x v="0"/>
    <x v="3"/>
    <n v="7448.31"/>
    <n v="9"/>
    <x v="1"/>
    <n v="310.24"/>
    <n v="451.81"/>
    <x v="0"/>
    <n v="0.1"/>
    <s v="Cash"/>
    <x v="1"/>
    <s v="South-Bob"/>
    <n v="4066.29"/>
    <n v="2792.16"/>
    <n v="1274.1300000000001"/>
  </r>
  <r>
    <n v="1003"/>
    <x v="48"/>
    <x v="4"/>
    <x v="0"/>
    <n v="5119.8900000000003"/>
    <n v="39"/>
    <x v="0"/>
    <n v="310.95999999999998"/>
    <n v="457.84"/>
    <x v="1"/>
    <n v="0.03"/>
    <s v="Credit Card"/>
    <x v="0"/>
    <s v="East-Eve"/>
    <n v="17855.759999999998"/>
    <n v="12127.439999999999"/>
    <n v="5728.32"/>
  </r>
  <r>
    <n v="1045"/>
    <x v="13"/>
    <x v="0"/>
    <x v="3"/>
    <n v="3284.53"/>
    <n v="15"/>
    <x v="1"/>
    <n v="316.22000000000003"/>
    <n v="799.04"/>
    <x v="1"/>
    <n v="0"/>
    <s v="Bank Transfer"/>
    <x v="0"/>
    <s v="South-Bob"/>
    <n v="11985.599999999999"/>
    <n v="4743.3"/>
    <n v="7242.2999999999984"/>
  </r>
  <r>
    <n v="1005"/>
    <x v="49"/>
    <x v="1"/>
    <x v="0"/>
    <n v="6828.24"/>
    <n v="12"/>
    <x v="1"/>
    <n v="319.83"/>
    <n v="802.43"/>
    <x v="1"/>
    <n v="0.04"/>
    <s v="Credit Card"/>
    <x v="1"/>
    <s v="East-Alice"/>
    <n v="9629.16"/>
    <n v="3837.96"/>
    <n v="5791.2"/>
  </r>
  <r>
    <n v="1046"/>
    <x v="30"/>
    <x v="1"/>
    <x v="2"/>
    <n v="8398.48"/>
    <n v="30"/>
    <x v="3"/>
    <n v="320.73"/>
    <n v="678.04"/>
    <x v="0"/>
    <n v="0.08"/>
    <s v="Cash"/>
    <x v="1"/>
    <s v="North-Alice"/>
    <n v="20341.199999999997"/>
    <n v="9621.9000000000015"/>
    <n v="10719.299999999996"/>
  </r>
  <r>
    <n v="1023"/>
    <x v="50"/>
    <x v="0"/>
    <x v="0"/>
    <n v="4896.93"/>
    <n v="38"/>
    <x v="0"/>
    <n v="324.45"/>
    <n v="336.37"/>
    <x v="1"/>
    <n v="0.28000000000000003"/>
    <s v="Credit Card"/>
    <x v="1"/>
    <s v="East-Bob"/>
    <n v="12782.06"/>
    <n v="12329.1"/>
    <n v="452.95999999999913"/>
  </r>
  <r>
    <n v="1012"/>
    <x v="51"/>
    <x v="1"/>
    <x v="3"/>
    <n v="2019.24"/>
    <n v="47"/>
    <x v="0"/>
    <n v="325.75"/>
    <n v="803.71"/>
    <x v="1"/>
    <n v="0.12"/>
    <s v="Bank Transfer"/>
    <x v="1"/>
    <s v="South-Alice"/>
    <n v="37774.370000000003"/>
    <n v="15310.25"/>
    <n v="22464.120000000003"/>
  </r>
  <r>
    <n v="1059"/>
    <x v="52"/>
    <x v="3"/>
    <x v="3"/>
    <n v="8063.7"/>
    <n v="1"/>
    <x v="1"/>
    <n v="332.62"/>
    <n v="612.46"/>
    <x v="0"/>
    <n v="0.24"/>
    <s v="Cash"/>
    <x v="1"/>
    <s v="South-Charlie"/>
    <n v="612.46"/>
    <n v="332.62"/>
    <n v="279.84000000000003"/>
  </r>
  <r>
    <n v="1094"/>
    <x v="4"/>
    <x v="4"/>
    <x v="0"/>
    <n v="8264.9599999999991"/>
    <n v="12"/>
    <x v="3"/>
    <n v="333.32"/>
    <n v="700.25"/>
    <x v="0"/>
    <n v="0.14000000000000001"/>
    <s v="Cash"/>
    <x v="0"/>
    <s v="East-Eve"/>
    <n v="8403"/>
    <n v="3999.84"/>
    <n v="4403.16"/>
  </r>
  <r>
    <n v="1019"/>
    <x v="53"/>
    <x v="2"/>
    <x v="1"/>
    <n v="5952.19"/>
    <n v="31"/>
    <x v="2"/>
    <n v="333.69"/>
    <n v="685.1"/>
    <x v="1"/>
    <n v="0.04"/>
    <s v="Bank Transfer"/>
    <x v="0"/>
    <s v="West-David"/>
    <n v="21238.100000000002"/>
    <n v="10344.39"/>
    <n v="10893.710000000003"/>
  </r>
  <r>
    <n v="1065"/>
    <x v="54"/>
    <x v="2"/>
    <x v="3"/>
    <n v="6801.71"/>
    <n v="9"/>
    <x v="0"/>
    <n v="335.82"/>
    <n v="498.31"/>
    <x v="1"/>
    <n v="0.26"/>
    <s v="Cash"/>
    <x v="1"/>
    <s v="South-David"/>
    <n v="4484.79"/>
    <n v="3022.38"/>
    <n v="1462.4099999999999"/>
  </r>
  <r>
    <n v="1040"/>
    <x v="21"/>
    <x v="3"/>
    <x v="2"/>
    <n v="8601.77"/>
    <n v="19"/>
    <x v="3"/>
    <n v="342.3"/>
    <n v="768.06"/>
    <x v="0"/>
    <n v="0.09"/>
    <s v="Credit Card"/>
    <x v="0"/>
    <s v="North-Charlie"/>
    <n v="14593.14"/>
    <n v="6503.7"/>
    <n v="8089.44"/>
  </r>
  <r>
    <n v="1018"/>
    <x v="55"/>
    <x v="2"/>
    <x v="3"/>
    <n v="7629.7"/>
    <n v="17"/>
    <x v="0"/>
    <n v="355.72"/>
    <n v="438.27"/>
    <x v="0"/>
    <n v="0.06"/>
    <s v="Bank Transfer"/>
    <x v="0"/>
    <s v="South-David"/>
    <n v="7450.59"/>
    <n v="6047.2400000000007"/>
    <n v="1403.3499999999995"/>
  </r>
  <r>
    <n v="1096"/>
    <x v="56"/>
    <x v="3"/>
    <x v="3"/>
    <n v="5935.59"/>
    <n v="45"/>
    <x v="0"/>
    <n v="357.92"/>
    <n v="461.3"/>
    <x v="0"/>
    <n v="0.28000000000000003"/>
    <s v="Cash"/>
    <x v="0"/>
    <s v="South-Charlie"/>
    <n v="20758.5"/>
    <n v="16106.400000000001"/>
    <n v="4652.0999999999985"/>
  </r>
  <r>
    <n v="1009"/>
    <x v="57"/>
    <x v="4"/>
    <x v="2"/>
    <n v="9813.66"/>
    <n v="47"/>
    <x v="0"/>
    <n v="359.41"/>
    <n v="733"/>
    <x v="0"/>
    <n v="0.2"/>
    <s v="Bank Transfer"/>
    <x v="1"/>
    <s v="North-Eve"/>
    <n v="34451"/>
    <n v="16892.27"/>
    <n v="17558.73"/>
  </r>
  <r>
    <n v="1033"/>
    <x v="58"/>
    <x v="0"/>
    <x v="1"/>
    <n v="8499.41"/>
    <n v="14"/>
    <x v="0"/>
    <n v="362.38"/>
    <n v="753.81"/>
    <x v="0"/>
    <n v="0.19"/>
    <s v="Cash"/>
    <x v="1"/>
    <s v="West-Bob"/>
    <n v="10553.34"/>
    <n v="5073.32"/>
    <n v="5480.02"/>
  </r>
  <r>
    <n v="1100"/>
    <x v="59"/>
    <x v="0"/>
    <x v="0"/>
    <n v="7883.44"/>
    <n v="13"/>
    <x v="2"/>
    <n v="366.2"/>
    <n v="732.69"/>
    <x v="1"/>
    <n v="0.04"/>
    <s v="Cash"/>
    <x v="1"/>
    <s v="East-Bob"/>
    <n v="9524.9700000000012"/>
    <n v="4760.5999999999995"/>
    <n v="4764.3700000000017"/>
  </r>
  <r>
    <n v="1034"/>
    <x v="60"/>
    <x v="1"/>
    <x v="2"/>
    <n v="1937.9"/>
    <n v="13"/>
    <x v="3"/>
    <n v="366.31"/>
    <n v="492.68"/>
    <x v="1"/>
    <n v="0.12"/>
    <s v="Credit Card"/>
    <x v="1"/>
    <s v="North-Alice"/>
    <n v="6404.84"/>
    <n v="4762.03"/>
    <n v="1642.8100000000004"/>
  </r>
  <r>
    <n v="1047"/>
    <x v="61"/>
    <x v="4"/>
    <x v="2"/>
    <n v="8657.89"/>
    <n v="32"/>
    <x v="1"/>
    <n v="367.98"/>
    <n v="806.14"/>
    <x v="0"/>
    <n v="0.22"/>
    <s v="Credit Card"/>
    <x v="1"/>
    <s v="North-Eve"/>
    <n v="25796.48"/>
    <n v="11775.36"/>
    <n v="14021.119999999999"/>
  </r>
  <r>
    <n v="1039"/>
    <x v="52"/>
    <x v="1"/>
    <x v="2"/>
    <n v="763.04"/>
    <n v="3"/>
    <x v="2"/>
    <n v="391.19"/>
    <n v="471.75"/>
    <x v="0"/>
    <n v="0.27"/>
    <s v="Cash"/>
    <x v="0"/>
    <s v="North-Alice"/>
    <n v="1415.25"/>
    <n v="1173.57"/>
    <n v="241.68000000000006"/>
  </r>
  <r>
    <n v="1003"/>
    <x v="54"/>
    <x v="1"/>
    <x v="0"/>
    <n v="640.88"/>
    <n v="17"/>
    <x v="3"/>
    <n v="395.11"/>
    <n v="676.66"/>
    <x v="0"/>
    <n v="0.25"/>
    <s v="Cash"/>
    <x v="1"/>
    <s v="East-Alice"/>
    <n v="11503.22"/>
    <n v="6716.87"/>
    <n v="4786.3499999999995"/>
  </r>
  <r>
    <n v="1038"/>
    <x v="62"/>
    <x v="2"/>
    <x v="2"/>
    <n v="763.46"/>
    <n v="9"/>
    <x v="0"/>
    <n v="400.42"/>
    <n v="446.11"/>
    <x v="1"/>
    <n v="0.01"/>
    <s v="Bank Transfer"/>
    <x v="1"/>
    <s v="North-David"/>
    <n v="4014.9900000000002"/>
    <n v="3603.78"/>
    <n v="411.21000000000004"/>
  </r>
  <r>
    <n v="1093"/>
    <x v="63"/>
    <x v="3"/>
    <x v="2"/>
    <n v="664.09"/>
    <n v="46"/>
    <x v="0"/>
    <n v="401.64"/>
    <n v="757.26"/>
    <x v="1"/>
    <n v="0.21"/>
    <s v="Credit Card"/>
    <x v="1"/>
    <s v="North-Charlie"/>
    <n v="34833.96"/>
    <n v="18475.439999999999"/>
    <n v="16358.52"/>
  </r>
  <r>
    <n v="1095"/>
    <x v="64"/>
    <x v="1"/>
    <x v="0"/>
    <n v="9432.9699999999993"/>
    <n v="37"/>
    <x v="1"/>
    <n v="407.77"/>
    <n v="860.95"/>
    <x v="1"/>
    <n v="0.1"/>
    <s v="Credit Card"/>
    <x v="1"/>
    <s v="East-Alice"/>
    <n v="31855.15"/>
    <n v="15087.49"/>
    <n v="16767.660000000003"/>
  </r>
  <r>
    <n v="1052"/>
    <x v="65"/>
    <x v="4"/>
    <x v="3"/>
    <n v="6675.77"/>
    <n v="42"/>
    <x v="1"/>
    <n v="417.96"/>
    <n v="907.63"/>
    <x v="1"/>
    <n v="0.04"/>
    <s v="Cash"/>
    <x v="1"/>
    <s v="South-Eve"/>
    <n v="38120.46"/>
    <n v="17554.32"/>
    <n v="20566.14"/>
  </r>
  <r>
    <n v="1064"/>
    <x v="66"/>
    <x v="0"/>
    <x v="3"/>
    <n v="322.02"/>
    <n v="5"/>
    <x v="2"/>
    <n v="421.05"/>
    <n v="488.23"/>
    <x v="0"/>
    <n v="7.0000000000000007E-2"/>
    <s v="Credit Card"/>
    <x v="1"/>
    <s v="South-Bob"/>
    <n v="2441.15"/>
    <n v="2105.25"/>
    <n v="335.90000000000009"/>
  </r>
  <r>
    <n v="1092"/>
    <x v="67"/>
    <x v="2"/>
    <x v="0"/>
    <n v="719.01"/>
    <n v="6"/>
    <x v="0"/>
    <n v="422.74"/>
    <n v="737.49"/>
    <x v="0"/>
    <n v="0.19"/>
    <s v="Credit Card"/>
    <x v="1"/>
    <s v="East-David"/>
    <n v="4424.9400000000005"/>
    <n v="2536.44"/>
    <n v="1888.5000000000005"/>
  </r>
  <r>
    <n v="1044"/>
    <x v="68"/>
    <x v="1"/>
    <x v="2"/>
    <n v="4912.6899999999996"/>
    <n v="18"/>
    <x v="0"/>
    <n v="430.14"/>
    <n v="641.17999999999995"/>
    <x v="1"/>
    <n v="0.13"/>
    <s v="Cash"/>
    <x v="0"/>
    <s v="North-Alice"/>
    <n v="11541.24"/>
    <n v="7742.5199999999995"/>
    <n v="3798.7200000000003"/>
  </r>
  <r>
    <n v="1014"/>
    <x v="69"/>
    <x v="2"/>
    <x v="3"/>
    <n v="8983.92"/>
    <n v="26"/>
    <x v="3"/>
    <n v="433.19"/>
    <n v="800.6"/>
    <x v="0"/>
    <n v="0.2"/>
    <s v="Cash"/>
    <x v="0"/>
    <s v="South-David"/>
    <n v="20815.600000000002"/>
    <n v="11262.94"/>
    <n v="9552.6600000000017"/>
  </r>
  <r>
    <n v="1015"/>
    <x v="70"/>
    <x v="1"/>
    <x v="0"/>
    <n v="1148.47"/>
    <n v="19"/>
    <x v="0"/>
    <n v="433.54"/>
    <n v="445.48"/>
    <x v="1"/>
    <n v="0.28999999999999998"/>
    <s v="Bank Transfer"/>
    <x v="1"/>
    <s v="East-Alice"/>
    <n v="8464.1200000000008"/>
    <n v="8237.26"/>
    <n v="226.86000000000058"/>
  </r>
  <r>
    <n v="1079"/>
    <x v="71"/>
    <x v="4"/>
    <x v="0"/>
    <n v="2265.23"/>
    <n v="49"/>
    <x v="0"/>
    <n v="437.59"/>
    <n v="675.54"/>
    <x v="0"/>
    <n v="0.1"/>
    <s v="Cash"/>
    <x v="0"/>
    <s v="East-Eve"/>
    <n v="33101.46"/>
    <n v="21441.91"/>
    <n v="11659.55"/>
  </r>
  <r>
    <n v="1001"/>
    <x v="72"/>
    <x v="4"/>
    <x v="0"/>
    <n v="5262.35"/>
    <n v="8"/>
    <x v="0"/>
    <n v="442.11"/>
    <n v="803.87"/>
    <x v="1"/>
    <n v="0.18"/>
    <s v="Cash"/>
    <x v="1"/>
    <s v="East-Eve"/>
    <n v="6430.96"/>
    <n v="3536.88"/>
    <n v="2894.08"/>
  </r>
  <r>
    <n v="1021"/>
    <x v="73"/>
    <x v="4"/>
    <x v="2"/>
    <n v="671.55"/>
    <n v="19"/>
    <x v="0"/>
    <n v="444.05"/>
    <n v="584.44000000000005"/>
    <x v="0"/>
    <n v="0.28000000000000003"/>
    <s v="Cash"/>
    <x v="1"/>
    <s v="North-Eve"/>
    <n v="11104.36"/>
    <n v="8436.9500000000007"/>
    <n v="2667.41"/>
  </r>
  <r>
    <n v="1009"/>
    <x v="42"/>
    <x v="0"/>
    <x v="1"/>
    <n v="8912.4"/>
    <n v="33"/>
    <x v="0"/>
    <n v="450.72"/>
    <n v="918.17"/>
    <x v="0"/>
    <n v="0.11"/>
    <s v="Cash"/>
    <x v="0"/>
    <s v="West-Bob"/>
    <n v="30299.609999999997"/>
    <n v="14873.76"/>
    <n v="15425.849999999997"/>
  </r>
  <r>
    <n v="1084"/>
    <x v="74"/>
    <x v="2"/>
    <x v="1"/>
    <n v="2154.66"/>
    <n v="35"/>
    <x v="2"/>
    <n v="465.61"/>
    <n v="812.91"/>
    <x v="1"/>
    <n v="0.16"/>
    <s v="Bank Transfer"/>
    <x v="0"/>
    <s v="West-David"/>
    <n v="28451.85"/>
    <n v="16296.35"/>
    <n v="12155.499999999998"/>
  </r>
  <r>
    <n v="1051"/>
    <x v="75"/>
    <x v="4"/>
    <x v="2"/>
    <n v="2479.9499999999998"/>
    <n v="8"/>
    <x v="0"/>
    <n v="467.11"/>
    <n v="792.21"/>
    <x v="1"/>
    <n v="0.2"/>
    <s v="Credit Card"/>
    <x v="0"/>
    <s v="North-Eve"/>
    <n v="6337.68"/>
    <n v="3736.88"/>
    <n v="2600.8000000000002"/>
  </r>
  <r>
    <n v="1085"/>
    <x v="18"/>
    <x v="4"/>
    <x v="1"/>
    <n v="2719.89"/>
    <n v="16"/>
    <x v="2"/>
    <n v="472.08"/>
    <n v="842.46"/>
    <x v="1"/>
    <n v="0"/>
    <s v="Cash"/>
    <x v="1"/>
    <s v="West-Eve"/>
    <n v="13479.36"/>
    <n v="7553.28"/>
    <n v="5926.0800000000008"/>
  </r>
  <r>
    <n v="1022"/>
    <x v="76"/>
    <x v="4"/>
    <x v="1"/>
    <n v="8906.24"/>
    <n v="29"/>
    <x v="3"/>
    <n v="479.58"/>
    <n v="909.88"/>
    <x v="0"/>
    <n v="0.13"/>
    <s v="Credit Card"/>
    <x v="1"/>
    <s v="West-Eve"/>
    <n v="26386.52"/>
    <n v="13907.82"/>
    <n v="12478.7"/>
  </r>
  <r>
    <n v="1087"/>
    <x v="77"/>
    <x v="4"/>
    <x v="0"/>
    <n v="848.49"/>
    <n v="43"/>
    <x v="3"/>
    <n v="481"/>
    <n v="531.02"/>
    <x v="1"/>
    <n v="0.17"/>
    <s v="Cash"/>
    <x v="0"/>
    <s v="East-Eve"/>
    <n v="22833.86"/>
    <n v="20683"/>
    <n v="2150.8600000000006"/>
  </r>
  <r>
    <n v="1072"/>
    <x v="76"/>
    <x v="1"/>
    <x v="0"/>
    <n v="5511.11"/>
    <n v="25"/>
    <x v="0"/>
    <n v="481.19"/>
    <n v="693.4"/>
    <x v="1"/>
    <n v="0.27"/>
    <s v="Credit Card"/>
    <x v="1"/>
    <s v="East-Alice"/>
    <n v="17335"/>
    <n v="12029.75"/>
    <n v="5305.25"/>
  </r>
  <r>
    <n v="1014"/>
    <x v="78"/>
    <x v="0"/>
    <x v="1"/>
    <n v="758.99"/>
    <n v="49"/>
    <x v="3"/>
    <n v="493.35"/>
    <n v="799.27"/>
    <x v="1"/>
    <n v="0.1"/>
    <s v="Bank Transfer"/>
    <x v="0"/>
    <s v="West-Bob"/>
    <n v="39164.229999999996"/>
    <n v="24174.15"/>
    <n v="14990.079999999994"/>
  </r>
  <r>
    <n v="1029"/>
    <x v="37"/>
    <x v="4"/>
    <x v="0"/>
    <n v="1687.62"/>
    <n v="15"/>
    <x v="0"/>
    <n v="498.27"/>
    <n v="634.16"/>
    <x v="0"/>
    <n v="0.11"/>
    <s v="Credit Card"/>
    <x v="1"/>
    <s v="East-Eve"/>
    <n v="9512.4"/>
    <n v="7474.0499999999993"/>
    <n v="2038.3500000000004"/>
  </r>
  <r>
    <n v="1042"/>
    <x v="79"/>
    <x v="1"/>
    <x v="1"/>
    <n v="7116.78"/>
    <n v="37"/>
    <x v="3"/>
    <n v="502.86"/>
    <n v="687.6"/>
    <x v="0"/>
    <n v="0.21"/>
    <s v="Cash"/>
    <x v="0"/>
    <s v="West-Alice"/>
    <n v="25441.200000000001"/>
    <n v="18605.82"/>
    <n v="6835.380000000001"/>
  </r>
  <r>
    <n v="1033"/>
    <x v="1"/>
    <x v="0"/>
    <x v="0"/>
    <n v="6577.99"/>
    <n v="14"/>
    <x v="2"/>
    <n v="504.3"/>
    <n v="735.95"/>
    <x v="0"/>
    <n v="0.21"/>
    <s v="Cash"/>
    <x v="1"/>
    <s v="East-Bob"/>
    <n v="10303.300000000001"/>
    <n v="7060.2"/>
    <n v="3243.1000000000013"/>
  </r>
  <r>
    <n v="1002"/>
    <x v="12"/>
    <x v="3"/>
    <x v="1"/>
    <n v="9469.92"/>
    <n v="26"/>
    <x v="2"/>
    <n v="508.94"/>
    <n v="557.69000000000005"/>
    <x v="1"/>
    <n v="0.22"/>
    <s v="Credit Card"/>
    <x v="1"/>
    <s v="West-Charlie"/>
    <n v="14499.940000000002"/>
    <n v="13232.44"/>
    <n v="1267.5000000000018"/>
  </r>
  <r>
    <n v="1038"/>
    <x v="80"/>
    <x v="3"/>
    <x v="2"/>
    <n v="8753.31"/>
    <n v="7"/>
    <x v="3"/>
    <n v="523.02"/>
    <n v="686.25"/>
    <x v="0"/>
    <n v="0.04"/>
    <s v="Cash"/>
    <x v="0"/>
    <s v="North-Charlie"/>
    <n v="4803.75"/>
    <n v="3661.14"/>
    <n v="1142.6100000000001"/>
  </r>
  <r>
    <n v="1066"/>
    <x v="81"/>
    <x v="3"/>
    <x v="2"/>
    <n v="7297.86"/>
    <n v="7"/>
    <x v="0"/>
    <n v="523.41999999999996"/>
    <n v="632.43999999999903"/>
    <x v="1"/>
    <n v="0.2"/>
    <s v="Bank Transfer"/>
    <x v="0"/>
    <s v="North-Charlie"/>
    <n v="4427.0799999999936"/>
    <n v="3663.9399999999996"/>
    <n v="763.13999999999396"/>
  </r>
  <r>
    <n v="1043"/>
    <x v="7"/>
    <x v="3"/>
    <x v="3"/>
    <n v="5081.01"/>
    <n v="22"/>
    <x v="2"/>
    <n v="530.04"/>
    <n v="759.31999999999903"/>
    <x v="0"/>
    <n v="0.17"/>
    <s v="Bank Transfer"/>
    <x v="1"/>
    <s v="South-Charlie"/>
    <n v="16705.039999999979"/>
    <n v="11660.88"/>
    <n v="5044.1599999999798"/>
  </r>
  <r>
    <n v="1069"/>
    <x v="82"/>
    <x v="3"/>
    <x v="2"/>
    <n v="6283.68"/>
    <n v="23"/>
    <x v="3"/>
    <n v="530.24"/>
    <n v="987.41"/>
    <x v="0"/>
    <n v="0.23"/>
    <s v="Credit Card"/>
    <x v="0"/>
    <s v="North-Charlie"/>
    <n v="22710.43"/>
    <n v="12195.52"/>
    <n v="10514.91"/>
  </r>
  <r>
    <n v="1056"/>
    <x v="83"/>
    <x v="3"/>
    <x v="2"/>
    <n v="8274.5400000000009"/>
    <n v="10"/>
    <x v="0"/>
    <n v="536.80999999999995"/>
    <n v="839.92"/>
    <x v="0"/>
    <n v="0.15"/>
    <s v="Bank Transfer"/>
    <x v="0"/>
    <s v="North-Charlie"/>
    <n v="8399.1999999999989"/>
    <n v="5368.0999999999995"/>
    <n v="3031.0999999999995"/>
  </r>
  <r>
    <n v="1033"/>
    <x v="84"/>
    <x v="1"/>
    <x v="1"/>
    <n v="1103.5899999999999"/>
    <n v="40"/>
    <x v="2"/>
    <n v="541.19000000000005"/>
    <n v="595.20000000000005"/>
    <x v="0"/>
    <n v="0.19"/>
    <s v="Credit Card"/>
    <x v="0"/>
    <s v="West-Alice"/>
    <n v="23808"/>
    <n v="21647.600000000002"/>
    <n v="2160.3999999999978"/>
  </r>
  <r>
    <n v="1009"/>
    <x v="63"/>
    <x v="0"/>
    <x v="3"/>
    <n v="7172.8"/>
    <n v="14"/>
    <x v="2"/>
    <n v="547.79"/>
    <n v="958.76"/>
    <x v="0"/>
    <n v="7.0000000000000007E-2"/>
    <s v="Credit Card"/>
    <x v="1"/>
    <s v="South-Bob"/>
    <n v="13422.64"/>
    <n v="7669.0599999999995"/>
    <n v="5753.58"/>
  </r>
  <r>
    <n v="1087"/>
    <x v="85"/>
    <x v="0"/>
    <x v="0"/>
    <n v="7825.62"/>
    <n v="28"/>
    <x v="0"/>
    <n v="551.83000000000004"/>
    <n v="569.63"/>
    <x v="1"/>
    <n v="0.13"/>
    <s v="Credit Card"/>
    <x v="1"/>
    <s v="East-Bob"/>
    <n v="15949.64"/>
    <n v="15451.240000000002"/>
    <n v="498.39999999999782"/>
  </r>
  <r>
    <n v="1014"/>
    <x v="86"/>
    <x v="3"/>
    <x v="0"/>
    <n v="8406.07"/>
    <n v="48"/>
    <x v="3"/>
    <n v="556.72"/>
    <n v="665.07"/>
    <x v="0"/>
    <n v="0.01"/>
    <s v="Bank Transfer"/>
    <x v="1"/>
    <s v="East-Charlie"/>
    <n v="31923.360000000001"/>
    <n v="26722.560000000001"/>
    <n v="5200.7999999999993"/>
  </r>
  <r>
    <n v="1077"/>
    <x v="87"/>
    <x v="2"/>
    <x v="3"/>
    <n v="628.15"/>
    <n v="23"/>
    <x v="1"/>
    <n v="557.52"/>
    <n v="822.39"/>
    <x v="0"/>
    <n v="0.28999999999999998"/>
    <s v="Credit Card"/>
    <x v="0"/>
    <s v="South-David"/>
    <n v="18914.97"/>
    <n v="12822.96"/>
    <n v="6092.010000000002"/>
  </r>
  <r>
    <n v="1049"/>
    <x v="88"/>
    <x v="4"/>
    <x v="0"/>
    <n v="8611.9699999999993"/>
    <n v="17"/>
    <x v="1"/>
    <n v="558.70000000000005"/>
    <n v="1004.08"/>
    <x v="0"/>
    <n v="0.03"/>
    <s v="Credit Card"/>
    <x v="0"/>
    <s v="East-Eve"/>
    <n v="17069.36"/>
    <n v="9497.9000000000015"/>
    <n v="7571.4599999999991"/>
  </r>
  <r>
    <n v="1047"/>
    <x v="9"/>
    <x v="2"/>
    <x v="0"/>
    <n v="3746.64"/>
    <n v="18"/>
    <x v="0"/>
    <n v="560.91999999999996"/>
    <n v="1024.31"/>
    <x v="0"/>
    <n v="0.26"/>
    <s v="Cash"/>
    <x v="0"/>
    <s v="East-David"/>
    <n v="18437.579999999998"/>
    <n v="10096.56"/>
    <n v="8341.0199999999986"/>
  </r>
  <r>
    <n v="1043"/>
    <x v="89"/>
    <x v="2"/>
    <x v="1"/>
    <n v="4448.18"/>
    <n v="6"/>
    <x v="0"/>
    <n v="563.59"/>
    <n v="838.97"/>
    <x v="1"/>
    <n v="0.17"/>
    <s v="Credit Card"/>
    <x v="0"/>
    <s v="West-David"/>
    <n v="5033.82"/>
    <n v="3381.54"/>
    <n v="1652.2799999999997"/>
  </r>
  <r>
    <n v="1031"/>
    <x v="90"/>
    <x v="1"/>
    <x v="1"/>
    <n v="1781.82"/>
    <n v="10"/>
    <x v="1"/>
    <n v="566.86"/>
    <n v="818.14"/>
    <x v="0"/>
    <n v="0.25"/>
    <s v="Credit Card"/>
    <x v="1"/>
    <s v="West-Alice"/>
    <n v="8181.4"/>
    <n v="5668.6"/>
    <n v="2512.7999999999993"/>
  </r>
  <r>
    <n v="1023"/>
    <x v="91"/>
    <x v="1"/>
    <x v="0"/>
    <n v="6442.09"/>
    <n v="2"/>
    <x v="0"/>
    <n v="575.32000000000005"/>
    <n v="914.77"/>
    <x v="0"/>
    <n v="0.26"/>
    <s v="Bank Transfer"/>
    <x v="0"/>
    <s v="East-Alice"/>
    <n v="1829.54"/>
    <n v="1150.6400000000001"/>
    <n v="678.89999999999986"/>
  </r>
  <r>
    <n v="1084"/>
    <x v="92"/>
    <x v="0"/>
    <x v="0"/>
    <n v="8967.18"/>
    <n v="21"/>
    <x v="0"/>
    <n v="576.74"/>
    <n v="648.29"/>
    <x v="0"/>
    <n v="0.2"/>
    <s v="Bank Transfer"/>
    <x v="0"/>
    <s v="East-Bob"/>
    <n v="13614.09"/>
    <n v="12111.54"/>
    <n v="1502.5499999999993"/>
  </r>
  <r>
    <n v="1021"/>
    <x v="93"/>
    <x v="2"/>
    <x v="3"/>
    <n v="7792.79"/>
    <n v="23"/>
    <x v="2"/>
    <n v="580.75"/>
    <n v="956.16"/>
    <x v="0"/>
    <n v="7.0000000000000007E-2"/>
    <s v="Cash"/>
    <x v="1"/>
    <s v="South-David"/>
    <n v="21991.68"/>
    <n v="13357.25"/>
    <n v="8634.43"/>
  </r>
  <r>
    <n v="1077"/>
    <x v="92"/>
    <x v="4"/>
    <x v="2"/>
    <n v="9192.42"/>
    <n v="35"/>
    <x v="1"/>
    <n v="585.37"/>
    <n v="970.49"/>
    <x v="0"/>
    <n v="0.15"/>
    <s v="Bank Transfer"/>
    <x v="1"/>
    <s v="North-Eve"/>
    <n v="33967.15"/>
    <n v="20487.95"/>
    <n v="13479.2"/>
  </r>
  <r>
    <n v="1072"/>
    <x v="94"/>
    <x v="2"/>
    <x v="1"/>
    <n v="5969.12"/>
    <n v="39"/>
    <x v="0"/>
    <n v="591.98"/>
    <n v="934.04"/>
    <x v="1"/>
    <n v="0.26"/>
    <s v="Bank Transfer"/>
    <x v="1"/>
    <s v="West-David"/>
    <n v="36427.56"/>
    <n v="23087.22"/>
    <n v="13340.339999999997"/>
  </r>
  <r>
    <n v="1008"/>
    <x v="95"/>
    <x v="4"/>
    <x v="2"/>
    <n v="9154.0300000000007"/>
    <n v="35"/>
    <x v="0"/>
    <n v="600.20000000000005"/>
    <n v="1059.82"/>
    <x v="0"/>
    <n v="0.28999999999999998"/>
    <s v="Bank Transfer"/>
    <x v="1"/>
    <s v="North-Eve"/>
    <n v="37093.699999999997"/>
    <n v="21007"/>
    <n v="16086.699999999997"/>
  </r>
  <r>
    <n v="1041"/>
    <x v="19"/>
    <x v="2"/>
    <x v="3"/>
    <n v="3942.84"/>
    <n v="40"/>
    <x v="2"/>
    <n v="601.86"/>
    <n v="1067.53"/>
    <x v="1"/>
    <n v="0.18"/>
    <s v="Cash"/>
    <x v="0"/>
    <s v="South-David"/>
    <n v="42701.2"/>
    <n v="24074.400000000001"/>
    <n v="18626.799999999996"/>
  </r>
  <r>
    <n v="1076"/>
    <x v="96"/>
    <x v="4"/>
    <x v="2"/>
    <n v="6697.98"/>
    <n v="17"/>
    <x v="0"/>
    <n v="604.08000000000004"/>
    <n v="624.71"/>
    <x v="1"/>
    <n v="0.14000000000000001"/>
    <s v="Bank Transfer"/>
    <x v="1"/>
    <s v="North-Eve"/>
    <n v="10620.07"/>
    <n v="10269.36"/>
    <n v="350.70999999999913"/>
  </r>
  <r>
    <n v="1096"/>
    <x v="97"/>
    <x v="4"/>
    <x v="3"/>
    <n v="7597.37"/>
    <n v="23"/>
    <x v="1"/>
    <n v="608.57000000000005"/>
    <n v="1032.22"/>
    <x v="1"/>
    <n v="0.25"/>
    <s v="Cash"/>
    <x v="1"/>
    <s v="South-Eve"/>
    <n v="23741.06"/>
    <n v="13997.11"/>
    <n v="9743.9500000000007"/>
  </r>
  <r>
    <n v="1035"/>
    <x v="98"/>
    <x v="2"/>
    <x v="2"/>
    <n v="9476.2000000000007"/>
    <n v="1"/>
    <x v="3"/>
    <n v="610.83000000000004"/>
    <n v="808.69"/>
    <x v="1"/>
    <n v="0.22"/>
    <s v="Credit Card"/>
    <x v="0"/>
    <s v="North-David"/>
    <n v="808.69"/>
    <n v="610.83000000000004"/>
    <n v="197.86"/>
  </r>
  <r>
    <n v="1094"/>
    <x v="58"/>
    <x v="0"/>
    <x v="2"/>
    <n v="3992.63"/>
    <n v="49"/>
    <x v="2"/>
    <n v="615.47"/>
    <n v="715.84"/>
    <x v="0"/>
    <n v="0.21"/>
    <s v="Credit Card"/>
    <x v="1"/>
    <s v="North-Bob"/>
    <n v="35076.160000000003"/>
    <n v="30158.030000000002"/>
    <n v="4918.130000000001"/>
  </r>
  <r>
    <n v="1081"/>
    <x v="91"/>
    <x v="0"/>
    <x v="3"/>
    <n v="1429.32"/>
    <n v="44"/>
    <x v="2"/>
    <n v="618.79"/>
    <n v="938.04"/>
    <x v="0"/>
    <n v="0.03"/>
    <s v="Cash"/>
    <x v="0"/>
    <s v="South-Bob"/>
    <n v="41273.759999999995"/>
    <n v="27226.76"/>
    <n v="14046.999999999996"/>
  </r>
  <r>
    <n v="1095"/>
    <x v="99"/>
    <x v="2"/>
    <x v="2"/>
    <n v="8828.74"/>
    <n v="21"/>
    <x v="0"/>
    <n v="621.04999999999995"/>
    <n v="820.36999999999898"/>
    <x v="0"/>
    <n v="0.24"/>
    <s v="Bank Transfer"/>
    <x v="0"/>
    <s v="North-David"/>
    <n v="17227.769999999979"/>
    <n v="13042.05"/>
    <n v="4185.7199999999793"/>
  </r>
  <r>
    <n v="1024"/>
    <x v="100"/>
    <x v="4"/>
    <x v="1"/>
    <n v="6607.8"/>
    <n v="21"/>
    <x v="2"/>
    <n v="622.01"/>
    <n v="641.09"/>
    <x v="0"/>
    <n v="0"/>
    <s v="Bank Transfer"/>
    <x v="1"/>
    <s v="West-Eve"/>
    <n v="13462.890000000001"/>
    <n v="13062.21"/>
    <n v="400.68000000000211"/>
  </r>
  <r>
    <n v="1003"/>
    <x v="101"/>
    <x v="3"/>
    <x v="3"/>
    <n v="5991.8"/>
    <n v="27"/>
    <x v="3"/>
    <n v="623.32000000000005"/>
    <n v="853.66"/>
    <x v="0"/>
    <n v="0.04"/>
    <s v="Cash"/>
    <x v="0"/>
    <s v="South-Charlie"/>
    <n v="23048.82"/>
    <n v="16829.640000000003"/>
    <n v="6219.1799999999967"/>
  </r>
  <r>
    <n v="1042"/>
    <x v="102"/>
    <x v="1"/>
    <x v="2"/>
    <n v="5207.03"/>
    <n v="11"/>
    <x v="2"/>
    <n v="635.20000000000005"/>
    <n v="814.14"/>
    <x v="0"/>
    <n v="0.02"/>
    <s v="Cash"/>
    <x v="0"/>
    <s v="North-Alice"/>
    <n v="8955.5399999999991"/>
    <n v="6987.2000000000007"/>
    <n v="1968.3399999999983"/>
  </r>
  <r>
    <n v="1045"/>
    <x v="81"/>
    <x v="4"/>
    <x v="1"/>
    <n v="6792.66"/>
    <n v="14"/>
    <x v="0"/>
    <n v="635.28"/>
    <n v="831.13"/>
    <x v="0"/>
    <n v="0.17"/>
    <s v="Bank Transfer"/>
    <x v="1"/>
    <s v="West-Eve"/>
    <n v="11635.82"/>
    <n v="8893.92"/>
    <n v="2741.8999999999996"/>
  </r>
  <r>
    <n v="1061"/>
    <x v="103"/>
    <x v="3"/>
    <x v="0"/>
    <n v="3750.2"/>
    <n v="13"/>
    <x v="1"/>
    <n v="637.37"/>
    <n v="692.71"/>
    <x v="1"/>
    <n v="0.08"/>
    <s v="Credit Card"/>
    <x v="0"/>
    <s v="East-Charlie"/>
    <n v="9005.23"/>
    <n v="8285.81"/>
    <n v="719.42000000000007"/>
  </r>
  <r>
    <n v="1057"/>
    <x v="33"/>
    <x v="3"/>
    <x v="2"/>
    <n v="2114.38"/>
    <n v="12"/>
    <x v="3"/>
    <n v="639.16"/>
    <n v="746.28"/>
    <x v="0"/>
    <n v="0.04"/>
    <s v="Bank Transfer"/>
    <x v="1"/>
    <s v="North-Charlie"/>
    <n v="8955.36"/>
    <n v="7669.92"/>
    <n v="1285.4400000000005"/>
  </r>
  <r>
    <n v="1088"/>
    <x v="57"/>
    <x v="3"/>
    <x v="0"/>
    <n v="456.59"/>
    <n v="29"/>
    <x v="3"/>
    <n v="639.58000000000004"/>
    <n v="1107.45"/>
    <x v="1"/>
    <n v="0.28999999999999998"/>
    <s v="Cash"/>
    <x v="1"/>
    <s v="East-Charlie"/>
    <n v="32116.050000000003"/>
    <n v="18547.82"/>
    <n v="13568.230000000003"/>
  </r>
  <r>
    <n v="1017"/>
    <x v="53"/>
    <x v="4"/>
    <x v="0"/>
    <n v="2141.9"/>
    <n v="1"/>
    <x v="3"/>
    <n v="641.67999999999995"/>
    <n v="752.24"/>
    <x v="1"/>
    <n v="0.22"/>
    <s v="Bank Transfer"/>
    <x v="0"/>
    <s v="East-Eve"/>
    <n v="752.24"/>
    <n v="641.67999999999995"/>
    <n v="110.56000000000006"/>
  </r>
  <r>
    <n v="1060"/>
    <x v="104"/>
    <x v="1"/>
    <x v="3"/>
    <n v="6453.17"/>
    <n v="23"/>
    <x v="1"/>
    <n v="647.70000000000005"/>
    <n v="902.26"/>
    <x v="1"/>
    <n v="0.17"/>
    <s v="Bank Transfer"/>
    <x v="0"/>
    <s v="South-Alice"/>
    <n v="20751.98"/>
    <n v="14897.1"/>
    <n v="5854.8799999999992"/>
  </r>
  <r>
    <n v="1032"/>
    <x v="105"/>
    <x v="1"/>
    <x v="1"/>
    <n v="9413.77"/>
    <n v="1"/>
    <x v="2"/>
    <n v="651"/>
    <n v="865.76"/>
    <x v="0"/>
    <n v="0.09"/>
    <s v="Bank Transfer"/>
    <x v="1"/>
    <s v="West-Alice"/>
    <n v="865.76"/>
    <n v="651"/>
    <n v="214.76"/>
  </r>
  <r>
    <n v="1070"/>
    <x v="106"/>
    <x v="4"/>
    <x v="3"/>
    <n v="783.18"/>
    <n v="12"/>
    <x v="3"/>
    <n v="664.33"/>
    <n v="863.03"/>
    <x v="0"/>
    <n v="0.25"/>
    <s v="Bank Transfer"/>
    <x v="1"/>
    <s v="South-Eve"/>
    <n v="10356.36"/>
    <n v="7971.9600000000009"/>
    <n v="2384.3999999999996"/>
  </r>
  <r>
    <n v="1023"/>
    <x v="107"/>
    <x v="1"/>
    <x v="2"/>
    <n v="5051.12"/>
    <n v="2"/>
    <x v="2"/>
    <n v="665.89"/>
    <n v="944.79"/>
    <x v="1"/>
    <n v="0.1"/>
    <s v="Credit Card"/>
    <x v="1"/>
    <s v="North-Alice"/>
    <n v="1889.58"/>
    <n v="1331.78"/>
    <n v="557.79999999999995"/>
  </r>
  <r>
    <n v="1039"/>
    <x v="108"/>
    <x v="0"/>
    <x v="3"/>
    <n v="4306.0200000000004"/>
    <n v="28"/>
    <x v="0"/>
    <n v="666.84"/>
    <n v="817.36"/>
    <x v="0"/>
    <n v="0.02"/>
    <s v="Cash"/>
    <x v="1"/>
    <s v="South-Bob"/>
    <n v="22886.080000000002"/>
    <n v="18671.52"/>
    <n v="4214.5600000000013"/>
  </r>
  <r>
    <n v="1001"/>
    <x v="0"/>
    <x v="2"/>
    <x v="2"/>
    <n v="4944.99"/>
    <n v="36"/>
    <x v="3"/>
    <n v="666.84"/>
    <n v="682.24"/>
    <x v="1"/>
    <n v="0.16"/>
    <s v="Bank Transfer"/>
    <x v="1"/>
    <s v="North-David"/>
    <n v="24560.639999999999"/>
    <n v="24006.240000000002"/>
    <n v="554.39999999999782"/>
  </r>
  <r>
    <n v="1034"/>
    <x v="109"/>
    <x v="4"/>
    <x v="3"/>
    <n v="2082.79"/>
    <n v="26"/>
    <x v="1"/>
    <n v="667"/>
    <n v="718.72"/>
    <x v="1"/>
    <n v="0.2"/>
    <s v="Cash"/>
    <x v="1"/>
    <s v="South-Eve"/>
    <n v="18686.72"/>
    <n v="17342"/>
    <n v="1344.7200000000012"/>
  </r>
  <r>
    <n v="1092"/>
    <x v="110"/>
    <x v="0"/>
    <x v="0"/>
    <n v="9220.94"/>
    <n v="20"/>
    <x v="2"/>
    <n v="668.11"/>
    <n v="803.49"/>
    <x v="1"/>
    <n v="0.21"/>
    <s v="Bank Transfer"/>
    <x v="0"/>
    <s v="East-Bob"/>
    <n v="16069.8"/>
    <n v="13362.2"/>
    <n v="2707.5999999999985"/>
  </r>
  <r>
    <n v="1016"/>
    <x v="111"/>
    <x v="2"/>
    <x v="3"/>
    <n v="485.9"/>
    <n v="4"/>
    <x v="2"/>
    <n v="688.98"/>
    <n v="863.81"/>
    <x v="1"/>
    <n v="0.27"/>
    <s v="Credit Card"/>
    <x v="1"/>
    <s v="South-David"/>
    <n v="3455.24"/>
    <n v="2755.92"/>
    <n v="699.31999999999971"/>
  </r>
  <r>
    <n v="1067"/>
    <x v="112"/>
    <x v="1"/>
    <x v="2"/>
    <n v="8602.2900000000009"/>
    <n v="36"/>
    <x v="1"/>
    <n v="689.66"/>
    <n v="1150.28"/>
    <x v="1"/>
    <n v="0.2"/>
    <s v="Bank Transfer"/>
    <x v="0"/>
    <s v="North-Alice"/>
    <n v="41410.080000000002"/>
    <n v="24827.759999999998"/>
    <n v="16582.320000000003"/>
  </r>
  <r>
    <n v="1087"/>
    <x v="94"/>
    <x v="4"/>
    <x v="0"/>
    <n v="2106.06"/>
    <n v="30"/>
    <x v="1"/>
    <n v="698.74"/>
    <n v="882.28"/>
    <x v="0"/>
    <n v="0.15"/>
    <s v="Credit Card"/>
    <x v="0"/>
    <s v="East-Eve"/>
    <n v="26468.399999999998"/>
    <n v="20962.2"/>
    <n v="5506.1999999999971"/>
  </r>
  <r>
    <n v="1036"/>
    <x v="113"/>
    <x v="1"/>
    <x v="0"/>
    <n v="5454.96"/>
    <n v="32"/>
    <x v="0"/>
    <n v="700.49"/>
    <n v="1126.52"/>
    <x v="1"/>
    <n v="0.28999999999999998"/>
    <s v="Credit Card"/>
    <x v="1"/>
    <s v="East-Alice"/>
    <n v="36048.639999999999"/>
    <n v="22415.68"/>
    <n v="13632.96"/>
  </r>
  <r>
    <n v="1048"/>
    <x v="114"/>
    <x v="3"/>
    <x v="0"/>
    <n v="6482.98"/>
    <n v="47"/>
    <x v="0"/>
    <n v="702.44"/>
    <n v="1067.6600000000001"/>
    <x v="1"/>
    <n v="0.24"/>
    <s v="Cash"/>
    <x v="1"/>
    <s v="East-Charlie"/>
    <n v="50180.020000000004"/>
    <n v="33014.68"/>
    <n v="17165.340000000004"/>
  </r>
  <r>
    <n v="1012"/>
    <x v="20"/>
    <x v="1"/>
    <x v="3"/>
    <n v="1874.61"/>
    <n v="9"/>
    <x v="1"/>
    <n v="709.97"/>
    <n v="1029.71"/>
    <x v="0"/>
    <n v="0.13"/>
    <s v="Bank Transfer"/>
    <x v="1"/>
    <s v="South-Alice"/>
    <n v="9267.39"/>
    <n v="6389.7300000000005"/>
    <n v="2877.6599999999989"/>
  </r>
  <r>
    <n v="1050"/>
    <x v="109"/>
    <x v="3"/>
    <x v="1"/>
    <n v="1011.46"/>
    <n v="48"/>
    <x v="3"/>
    <n v="710.06"/>
    <n v="851.349999999999"/>
    <x v="0"/>
    <n v="0.04"/>
    <s v="Bank Transfer"/>
    <x v="0"/>
    <s v="West-Charlie"/>
    <n v="40864.799999999952"/>
    <n v="34082.879999999997"/>
    <n v="6781.9199999999546"/>
  </r>
  <r>
    <n v="1072"/>
    <x v="115"/>
    <x v="1"/>
    <x v="1"/>
    <n v="8271.6200000000008"/>
    <n v="12"/>
    <x v="0"/>
    <n v="710.99"/>
    <n v="876.46"/>
    <x v="0"/>
    <n v="0.03"/>
    <s v="Credit Card"/>
    <x v="0"/>
    <s v="West-Alice"/>
    <n v="10517.52"/>
    <n v="8531.880000000001"/>
    <n v="1985.6399999999994"/>
  </r>
  <r>
    <n v="1098"/>
    <x v="34"/>
    <x v="4"/>
    <x v="1"/>
    <n v="1600.79"/>
    <n v="21"/>
    <x v="3"/>
    <n v="725.03"/>
    <n v="828.94999999999902"/>
    <x v="1"/>
    <n v="0.18"/>
    <s v="Bank Transfer"/>
    <x v="0"/>
    <s v="West-Eve"/>
    <n v="17407.949999999979"/>
    <n v="15225.63"/>
    <n v="2182.3199999999797"/>
  </r>
  <r>
    <n v="1093"/>
    <x v="116"/>
    <x v="0"/>
    <x v="0"/>
    <n v="5272.85"/>
    <n v="17"/>
    <x v="3"/>
    <n v="727.38"/>
    <n v="764.54"/>
    <x v="0"/>
    <n v="0.17"/>
    <s v="Credit Card"/>
    <x v="1"/>
    <s v="East-Bob"/>
    <n v="12997.18"/>
    <n v="12365.46"/>
    <n v="631.72000000000116"/>
  </r>
  <r>
    <n v="1017"/>
    <x v="117"/>
    <x v="3"/>
    <x v="1"/>
    <n v="7542.3"/>
    <n v="2"/>
    <x v="2"/>
    <n v="728.41"/>
    <n v="1094.92"/>
    <x v="1"/>
    <n v="0.24"/>
    <s v="Cash"/>
    <x v="1"/>
    <s v="West-Charlie"/>
    <n v="2189.84"/>
    <n v="1456.82"/>
    <n v="733.02000000000021"/>
  </r>
  <r>
    <n v="1095"/>
    <x v="118"/>
    <x v="0"/>
    <x v="1"/>
    <n v="2825.35"/>
    <n v="20"/>
    <x v="2"/>
    <n v="729.27"/>
    <n v="999.18"/>
    <x v="1"/>
    <n v="0.1"/>
    <s v="Bank Transfer"/>
    <x v="0"/>
    <s v="West-Bob"/>
    <n v="19983.599999999999"/>
    <n v="14585.4"/>
    <n v="5398.1999999999989"/>
  </r>
  <r>
    <n v="1028"/>
    <x v="113"/>
    <x v="1"/>
    <x v="0"/>
    <n v="388.78"/>
    <n v="5"/>
    <x v="2"/>
    <n v="734.92"/>
    <n v="991.21"/>
    <x v="0"/>
    <n v="0.21"/>
    <s v="Credit Card"/>
    <x v="0"/>
    <s v="East-Alice"/>
    <n v="4956.05"/>
    <n v="3674.6"/>
    <n v="1281.4500000000003"/>
  </r>
  <r>
    <n v="1086"/>
    <x v="119"/>
    <x v="0"/>
    <x v="1"/>
    <n v="5127.2700000000004"/>
    <n v="7"/>
    <x v="2"/>
    <n v="737.9"/>
    <n v="1182"/>
    <x v="1"/>
    <n v="0.23"/>
    <s v="Credit Card"/>
    <x v="1"/>
    <s v="West-Bob"/>
    <n v="8274"/>
    <n v="5165.3"/>
    <n v="3108.7"/>
  </r>
  <r>
    <n v="1075"/>
    <x v="120"/>
    <x v="2"/>
    <x v="3"/>
    <n v="4223.3900000000003"/>
    <n v="30"/>
    <x v="3"/>
    <n v="738.06"/>
    <n v="1095.44999999999"/>
    <x v="1"/>
    <n v="0.05"/>
    <s v="Bank Transfer"/>
    <x v="0"/>
    <s v="South-David"/>
    <n v="32863.499999999702"/>
    <n v="22141.8"/>
    <n v="10721.699999999702"/>
  </r>
  <r>
    <n v="1018"/>
    <x v="32"/>
    <x v="2"/>
    <x v="0"/>
    <n v="5634.69"/>
    <n v="25"/>
    <x v="3"/>
    <n v="739.63"/>
    <n v="1103.03"/>
    <x v="1"/>
    <n v="0.26"/>
    <s v="Bank Transfer"/>
    <x v="1"/>
    <s v="East-David"/>
    <n v="27575.75"/>
    <n v="18490.75"/>
    <n v="9085"/>
  </r>
  <r>
    <n v="1098"/>
    <x v="121"/>
    <x v="2"/>
    <x v="3"/>
    <n v="6780.38"/>
    <n v="11"/>
    <x v="3"/>
    <n v="741.48"/>
    <n v="878.09"/>
    <x v="1"/>
    <n v="0.28999999999999998"/>
    <s v="Cash"/>
    <x v="1"/>
    <s v="South-David"/>
    <n v="9658.99"/>
    <n v="8156.2800000000007"/>
    <n v="1502.7099999999991"/>
  </r>
  <r>
    <n v="1052"/>
    <x v="122"/>
    <x v="2"/>
    <x v="2"/>
    <n v="1834.7"/>
    <n v="5"/>
    <x v="3"/>
    <n v="745.71"/>
    <n v="856.91"/>
    <x v="0"/>
    <n v="0.23"/>
    <s v="Bank Transfer"/>
    <x v="1"/>
    <s v="North-David"/>
    <n v="4284.55"/>
    <n v="3728.55"/>
    <n v="556"/>
  </r>
  <r>
    <n v="1027"/>
    <x v="123"/>
    <x v="0"/>
    <x v="0"/>
    <n v="7648.22"/>
    <n v="30"/>
    <x v="3"/>
    <n v="745.93"/>
    <n v="1143.02"/>
    <x v="0"/>
    <n v="0.2"/>
    <s v="Credit Card"/>
    <x v="0"/>
    <s v="East-Bob"/>
    <n v="34290.6"/>
    <n v="22377.899999999998"/>
    <n v="11912.7"/>
  </r>
  <r>
    <n v="1058"/>
    <x v="124"/>
    <x v="2"/>
    <x v="3"/>
    <n v="1142.92"/>
    <n v="9"/>
    <x v="3"/>
    <n v="760.55"/>
    <n v="1086.8899999999901"/>
    <x v="0"/>
    <n v="0.15"/>
    <s v="Cash"/>
    <x v="1"/>
    <s v="South-David"/>
    <n v="9782.0099999999111"/>
    <n v="6844.95"/>
    <n v="2937.0599999999113"/>
  </r>
  <r>
    <n v="1064"/>
    <x v="125"/>
    <x v="2"/>
    <x v="3"/>
    <n v="2579.63"/>
    <n v="8"/>
    <x v="0"/>
    <n v="816.54"/>
    <n v="1191.9000000000001"/>
    <x v="1"/>
    <n v="0.03"/>
    <s v="Cash"/>
    <x v="1"/>
    <s v="South-David"/>
    <n v="9535.2000000000007"/>
    <n v="6532.32"/>
    <n v="3002.880000000001"/>
  </r>
  <r>
    <n v="1006"/>
    <x v="126"/>
    <x v="0"/>
    <x v="3"/>
    <n v="189.64"/>
    <n v="22"/>
    <x v="2"/>
    <n v="834.32"/>
    <n v="1098.97"/>
    <x v="0"/>
    <n v="0.17"/>
    <s v="Cash"/>
    <x v="0"/>
    <s v="South-Bob"/>
    <n v="24177.34"/>
    <n v="18355.04"/>
    <n v="5822.2999999999993"/>
  </r>
  <r>
    <n v="1030"/>
    <x v="127"/>
    <x v="2"/>
    <x v="0"/>
    <n v="1874.63"/>
    <n v="2"/>
    <x v="0"/>
    <n v="844.94"/>
    <n v="1225.6400000000001"/>
    <x v="0"/>
    <n v="0.23"/>
    <s v="Credit Card"/>
    <x v="0"/>
    <s v="East-David"/>
    <n v="2451.2800000000002"/>
    <n v="1689.88"/>
    <n v="761.40000000000009"/>
  </r>
  <r>
    <n v="1089"/>
    <x v="128"/>
    <x v="3"/>
    <x v="2"/>
    <n v="3438.35"/>
    <n v="31"/>
    <x v="0"/>
    <n v="845.14"/>
    <n v="1001.77"/>
    <x v="1"/>
    <n v="0.03"/>
    <s v="Cash"/>
    <x v="0"/>
    <s v="North-Charlie"/>
    <n v="31054.87"/>
    <n v="26199.34"/>
    <n v="4855.5299999999988"/>
  </r>
  <r>
    <n v="1014"/>
    <x v="23"/>
    <x v="2"/>
    <x v="0"/>
    <n v="5612.17"/>
    <n v="4"/>
    <x v="3"/>
    <n v="854.68"/>
    <n v="1115.24"/>
    <x v="1"/>
    <n v="0.24"/>
    <s v="Credit Card"/>
    <x v="1"/>
    <s v="East-David"/>
    <n v="4460.96"/>
    <n v="3418.72"/>
    <n v="1042.2400000000002"/>
  </r>
  <r>
    <n v="1025"/>
    <x v="129"/>
    <x v="0"/>
    <x v="0"/>
    <n v="8236.1299999999992"/>
    <n v="14"/>
    <x v="1"/>
    <n v="859.59"/>
    <n v="884.51"/>
    <x v="1"/>
    <n v="0.12"/>
    <s v="Bank Transfer"/>
    <x v="0"/>
    <s v="East-Bob"/>
    <n v="12383.14"/>
    <n v="12034.26"/>
    <n v="348.8799999999992"/>
  </r>
  <r>
    <n v="1041"/>
    <x v="130"/>
    <x v="2"/>
    <x v="0"/>
    <n v="1714.05"/>
    <n v="36"/>
    <x v="2"/>
    <n v="864.77"/>
    <n v="1170.1599999999901"/>
    <x v="0"/>
    <n v="0.11"/>
    <s v="Cash"/>
    <x v="1"/>
    <s v="East-David"/>
    <n v="42125.759999999646"/>
    <n v="31131.72"/>
    <n v="10994.039999999644"/>
  </r>
  <r>
    <n v="1070"/>
    <x v="131"/>
    <x v="3"/>
    <x v="3"/>
    <n v="2032.15"/>
    <n v="33"/>
    <x v="2"/>
    <n v="866.42"/>
    <n v="878.43"/>
    <x v="1"/>
    <n v="0.09"/>
    <s v="Cash"/>
    <x v="1"/>
    <s v="South-Charlie"/>
    <n v="28988.19"/>
    <n v="28591.859999999997"/>
    <n v="396.33000000000175"/>
  </r>
  <r>
    <n v="1066"/>
    <x v="26"/>
    <x v="3"/>
    <x v="0"/>
    <n v="3492.19"/>
    <n v="4"/>
    <x v="3"/>
    <n v="868.83"/>
    <n v="1177.75"/>
    <x v="0"/>
    <n v="0.21"/>
    <s v="Credit Card"/>
    <x v="1"/>
    <s v="East-Charlie"/>
    <n v="4711"/>
    <n v="3475.32"/>
    <n v="1235.6799999999998"/>
  </r>
  <r>
    <n v="1082"/>
    <x v="132"/>
    <x v="1"/>
    <x v="2"/>
    <n v="7041.58"/>
    <n v="17"/>
    <x v="3"/>
    <n v="890.31"/>
    <n v="1159.06"/>
    <x v="0"/>
    <n v="0.06"/>
    <s v="Cash"/>
    <x v="1"/>
    <s v="North-Alice"/>
    <n v="19704.02"/>
    <n v="15135.269999999999"/>
    <n v="4568.7500000000018"/>
  </r>
  <r>
    <n v="1058"/>
    <x v="133"/>
    <x v="1"/>
    <x v="1"/>
    <n v="8085.98"/>
    <n v="15"/>
    <x v="0"/>
    <n v="894.48"/>
    <n v="1336.37"/>
    <x v="0"/>
    <n v="0.26"/>
    <s v="Cash"/>
    <x v="1"/>
    <s v="West-Alice"/>
    <n v="20045.55"/>
    <n v="13417.2"/>
    <n v="6628.3499999999985"/>
  </r>
  <r>
    <n v="1021"/>
    <x v="109"/>
    <x v="3"/>
    <x v="1"/>
    <n v="3761.15"/>
    <n v="32"/>
    <x v="2"/>
    <n v="900.79"/>
    <n v="1106.51"/>
    <x v="1"/>
    <n v="0.21"/>
    <s v="Cash"/>
    <x v="0"/>
    <s v="West-Charlie"/>
    <n v="35408.32"/>
    <n v="28825.279999999999"/>
    <n v="6583.0400000000009"/>
  </r>
  <r>
    <n v="1080"/>
    <x v="134"/>
    <x v="4"/>
    <x v="1"/>
    <n v="5012.96"/>
    <n v="35"/>
    <x v="3"/>
    <n v="900.97"/>
    <n v="1321.18"/>
    <x v="0"/>
    <n v="0.1"/>
    <s v="Cash"/>
    <x v="0"/>
    <s v="West-Eve"/>
    <n v="46241.3"/>
    <n v="31533.95"/>
    <n v="14707.350000000002"/>
  </r>
  <r>
    <n v="1078"/>
    <x v="135"/>
    <x v="4"/>
    <x v="2"/>
    <n v="4127.37"/>
    <n v="3"/>
    <x v="0"/>
    <n v="902.38"/>
    <n v="1128.9100000000001"/>
    <x v="1"/>
    <n v="0.01"/>
    <s v="Bank Transfer"/>
    <x v="1"/>
    <s v="North-Eve"/>
    <n v="3386.7300000000005"/>
    <n v="2707.14"/>
    <n v="679.5900000000006"/>
  </r>
  <r>
    <n v="1099"/>
    <x v="136"/>
    <x v="0"/>
    <x v="1"/>
    <n v="1514.14"/>
    <n v="43"/>
    <x v="0"/>
    <n v="906.47"/>
    <n v="1283.04"/>
    <x v="1"/>
    <n v="0.24"/>
    <s v="Cash"/>
    <x v="0"/>
    <s v="West-Bob"/>
    <n v="55170.720000000001"/>
    <n v="38978.21"/>
    <n v="16192.510000000002"/>
  </r>
  <r>
    <n v="1028"/>
    <x v="63"/>
    <x v="0"/>
    <x v="0"/>
    <n v="7946.69"/>
    <n v="24"/>
    <x v="2"/>
    <n v="911.11"/>
    <n v="1214.56"/>
    <x v="1"/>
    <n v="0.22"/>
    <s v="Bank Transfer"/>
    <x v="0"/>
    <s v="East-Bob"/>
    <n v="29149.439999999999"/>
    <n v="21866.639999999999"/>
    <n v="7282.7999999999993"/>
  </r>
  <r>
    <n v="1045"/>
    <x v="137"/>
    <x v="0"/>
    <x v="2"/>
    <n v="1649.12"/>
    <n v="2"/>
    <x v="1"/>
    <n v="912.08"/>
    <n v="993.24"/>
    <x v="0"/>
    <n v="0.09"/>
    <s v="Credit Card"/>
    <x v="0"/>
    <s v="North-Bob"/>
    <n v="1986.48"/>
    <n v="1824.16"/>
    <n v="162.31999999999994"/>
  </r>
  <r>
    <n v="1002"/>
    <x v="138"/>
    <x v="0"/>
    <x v="2"/>
    <n v="1942.75"/>
    <n v="21"/>
    <x v="2"/>
    <n v="914.22"/>
    <n v="971.57"/>
    <x v="0"/>
    <n v="0.14000000000000001"/>
    <s v="Cash"/>
    <x v="0"/>
    <s v="North-Bob"/>
    <n v="20402.97"/>
    <n v="19198.62"/>
    <n v="1204.3500000000022"/>
  </r>
  <r>
    <n v="1013"/>
    <x v="139"/>
    <x v="1"/>
    <x v="1"/>
    <n v="7413.36"/>
    <n v="16"/>
    <x v="3"/>
    <n v="919.58"/>
    <n v="1258.3"/>
    <x v="0"/>
    <n v="0.14000000000000001"/>
    <s v="Bank Transfer"/>
    <x v="0"/>
    <s v="West-Alice"/>
    <n v="20132.8"/>
    <n v="14713.28"/>
    <n v="5419.5199999999986"/>
  </r>
  <r>
    <n v="1008"/>
    <x v="140"/>
    <x v="3"/>
    <x v="3"/>
    <n v="7688.5"/>
    <n v="32"/>
    <x v="2"/>
    <n v="921.32"/>
    <n v="1236.0999999999999"/>
    <x v="1"/>
    <n v="0.12"/>
    <s v="Credit Card"/>
    <x v="0"/>
    <s v="South-Charlie"/>
    <n v="39555.199999999997"/>
    <n v="29482.240000000002"/>
    <n v="10072.959999999995"/>
  </r>
  <r>
    <n v="1017"/>
    <x v="141"/>
    <x v="4"/>
    <x v="2"/>
    <n v="4637.3999999999996"/>
    <n v="27"/>
    <x v="1"/>
    <n v="927.89"/>
    <n v="1399.09"/>
    <x v="0"/>
    <n v="0.27"/>
    <s v="Credit Card"/>
    <x v="0"/>
    <s v="North-Eve"/>
    <n v="37775.43"/>
    <n v="25053.03"/>
    <n v="12722.400000000001"/>
  </r>
  <r>
    <n v="1062"/>
    <x v="142"/>
    <x v="0"/>
    <x v="3"/>
    <n v="7567.22"/>
    <n v="28"/>
    <x v="1"/>
    <n v="933.16"/>
    <n v="1004.69999999999"/>
    <x v="0"/>
    <n v="0.18"/>
    <s v="Bank Transfer"/>
    <x v="0"/>
    <s v="South-Bob"/>
    <n v="28131.599999999722"/>
    <n v="26128.48"/>
    <n v="2003.1199999997225"/>
  </r>
  <r>
    <n v="1001"/>
    <x v="143"/>
    <x v="2"/>
    <x v="1"/>
    <n v="7154.95"/>
    <n v="27"/>
    <x v="0"/>
    <n v="939.02"/>
    <n v="1286.92"/>
    <x v="0"/>
    <n v="7.0000000000000007E-2"/>
    <s v="Credit Card"/>
    <x v="1"/>
    <s v="West-David"/>
    <n v="34746.840000000004"/>
    <n v="25353.54"/>
    <n v="9393.3000000000029"/>
  </r>
  <r>
    <n v="1029"/>
    <x v="144"/>
    <x v="3"/>
    <x v="2"/>
    <n v="5240.32"/>
    <n v="31"/>
    <x v="3"/>
    <n v="951.21"/>
    <n v="1320.32"/>
    <x v="1"/>
    <n v="0.15"/>
    <s v="Cash"/>
    <x v="0"/>
    <s v="North-Charlie"/>
    <n v="40929.919999999998"/>
    <n v="29487.510000000002"/>
    <n v="11442.409999999996"/>
  </r>
  <r>
    <n v="1066"/>
    <x v="35"/>
    <x v="1"/>
    <x v="3"/>
    <n v="4891.49"/>
    <n v="20"/>
    <x v="1"/>
    <n v="955.18"/>
    <n v="1072.82"/>
    <x v="1"/>
    <n v="0.03"/>
    <s v="Bank Transfer"/>
    <x v="1"/>
    <s v="South-Alice"/>
    <n v="21456.399999999998"/>
    <n v="19103.599999999999"/>
    <n v="2352.7999999999993"/>
  </r>
  <r>
    <n v="1047"/>
    <x v="145"/>
    <x v="2"/>
    <x v="3"/>
    <n v="9519.2999999999993"/>
    <n v="15"/>
    <x v="0"/>
    <n v="957.95"/>
    <n v="1329.26"/>
    <x v="1"/>
    <n v="0.21"/>
    <s v="Cash"/>
    <x v="0"/>
    <s v="South-David"/>
    <n v="19938.900000000001"/>
    <n v="14369.25"/>
    <n v="5569.6500000000015"/>
  </r>
  <r>
    <n v="1055"/>
    <x v="45"/>
    <x v="4"/>
    <x v="2"/>
    <n v="4153.18"/>
    <n v="40"/>
    <x v="3"/>
    <n v="959.73"/>
    <n v="1111.4100000000001"/>
    <x v="1"/>
    <n v="0.23"/>
    <s v="Bank Transfer"/>
    <x v="0"/>
    <s v="North-Eve"/>
    <n v="44456.4"/>
    <n v="38389.199999999997"/>
    <n v="6067.2000000000044"/>
  </r>
  <r>
    <n v="1075"/>
    <x v="118"/>
    <x v="3"/>
    <x v="1"/>
    <n v="2301.38"/>
    <n v="42"/>
    <x v="0"/>
    <n v="967.77"/>
    <n v="1414.88"/>
    <x v="1"/>
    <n v="0.17"/>
    <s v="Bank Transfer"/>
    <x v="0"/>
    <s v="West-Charlie"/>
    <n v="59424.960000000006"/>
    <n v="40646.339999999997"/>
    <n v="18778.62000000001"/>
  </r>
  <r>
    <n v="1015"/>
    <x v="146"/>
    <x v="4"/>
    <x v="0"/>
    <n v="3853.03"/>
    <n v="32"/>
    <x v="3"/>
    <n v="970.51"/>
    <n v="1330.84"/>
    <x v="0"/>
    <n v="0.06"/>
    <s v="Cash"/>
    <x v="1"/>
    <s v="East-Eve"/>
    <n v="42586.879999999997"/>
    <n v="31056.32"/>
    <n v="11530.559999999998"/>
  </r>
  <r>
    <n v="1063"/>
    <x v="26"/>
    <x v="0"/>
    <x v="0"/>
    <n v="6359.59"/>
    <n v="32"/>
    <x v="1"/>
    <n v="975.31"/>
    <n v="1176.17"/>
    <x v="1"/>
    <n v="0.22"/>
    <s v="Bank Transfer"/>
    <x v="1"/>
    <s v="East-Bob"/>
    <n v="37637.440000000002"/>
    <n v="31209.919999999998"/>
    <n v="6427.5200000000041"/>
  </r>
  <r>
    <n v="1034"/>
    <x v="53"/>
    <x v="2"/>
    <x v="2"/>
    <n v="8919.4699999999993"/>
    <n v="34"/>
    <x v="2"/>
    <n v="978.15"/>
    <n v="1040.21"/>
    <x v="1"/>
    <n v="0.12"/>
    <s v="Credit Card"/>
    <x v="1"/>
    <s v="North-David"/>
    <n v="35367.14"/>
    <n v="33257.1"/>
    <n v="2110.0400000000009"/>
  </r>
  <r>
    <n v="1064"/>
    <x v="147"/>
    <x v="0"/>
    <x v="1"/>
    <n v="9215.59"/>
    <n v="46"/>
    <x v="1"/>
    <n v="984.53"/>
    <n v="1138.49"/>
    <x v="1"/>
    <n v="0.04"/>
    <s v="Bank Transfer"/>
    <x v="0"/>
    <s v="West-Bob"/>
    <n v="52370.54"/>
    <n v="45288.38"/>
    <n v="7082.1600000000035"/>
  </r>
  <r>
    <n v="1062"/>
    <x v="135"/>
    <x v="2"/>
    <x v="3"/>
    <n v="4078.68"/>
    <n v="44"/>
    <x v="1"/>
    <n v="987.74"/>
    <n v="1462.19"/>
    <x v="1"/>
    <n v="0.24"/>
    <s v="Bank Transfer"/>
    <x v="0"/>
    <s v="South-David"/>
    <n v="64336.36"/>
    <n v="43460.56"/>
    <n v="20875.800000000003"/>
  </r>
  <r>
    <n v="1096"/>
    <x v="148"/>
    <x v="1"/>
    <x v="0"/>
    <n v="4649.88"/>
    <n v="32"/>
    <x v="3"/>
    <n v="991.63"/>
    <n v="1065.55"/>
    <x v="0"/>
    <n v="0.22"/>
    <s v="Bank Transfer"/>
    <x v="1"/>
    <s v="East-Alice"/>
    <n v="34097.599999999999"/>
    <n v="31732.16"/>
    <n v="2365.4399999999987"/>
  </r>
  <r>
    <n v="1062"/>
    <x v="149"/>
    <x v="4"/>
    <x v="3"/>
    <n v="594.79"/>
    <n v="26"/>
    <x v="0"/>
    <n v="992.17"/>
    <n v="1263.49"/>
    <x v="0"/>
    <n v="0.25"/>
    <s v="Bank Transfer"/>
    <x v="1"/>
    <s v="South-Eve"/>
    <n v="32850.74"/>
    <n v="25796.42"/>
    <n v="7054.32"/>
  </r>
  <r>
    <n v="1027"/>
    <x v="117"/>
    <x v="0"/>
    <x v="1"/>
    <n v="7896.74"/>
    <n v="3"/>
    <x v="2"/>
    <n v="999.09"/>
    <n v="1271.99"/>
    <x v="1"/>
    <n v="0.15"/>
    <s v="Credit Card"/>
    <x v="0"/>
    <s v="West-Bob"/>
    <n v="3815.9700000000003"/>
    <n v="2997.27"/>
    <n v="818.70000000000027"/>
  </r>
  <r>
    <n v="1051"/>
    <x v="150"/>
    <x v="0"/>
    <x v="1"/>
    <n v="5571.8"/>
    <n v="3"/>
    <x v="2"/>
    <n v="1000.18"/>
    <n v="1023.64"/>
    <x v="0"/>
    <n v="0.04"/>
    <s v="Credit Card"/>
    <x v="0"/>
    <s v="West-Bob"/>
    <n v="3070.92"/>
    <n v="3000.54"/>
    <n v="70.380000000000109"/>
  </r>
  <r>
    <n v="1002"/>
    <x v="151"/>
    <x v="2"/>
    <x v="3"/>
    <n v="8951.5300000000007"/>
    <n v="39"/>
    <x v="0"/>
    <n v="1004.71"/>
    <n v="1389.35"/>
    <x v="1"/>
    <n v="0.24"/>
    <s v="Bank Transfer"/>
    <x v="0"/>
    <s v="South-David"/>
    <n v="54184.649999999994"/>
    <n v="39183.69"/>
    <n v="15000.959999999992"/>
  </r>
  <r>
    <n v="1018"/>
    <x v="147"/>
    <x v="4"/>
    <x v="2"/>
    <n v="750.38"/>
    <n v="28"/>
    <x v="0"/>
    <n v="1006.14"/>
    <n v="1043.45"/>
    <x v="1"/>
    <n v="0.15"/>
    <s v="Bank Transfer"/>
    <x v="1"/>
    <s v="North-Eve"/>
    <n v="29216.600000000002"/>
    <n v="28171.919999999998"/>
    <n v="1044.6800000000039"/>
  </r>
  <r>
    <n v="1058"/>
    <x v="77"/>
    <x v="1"/>
    <x v="2"/>
    <n v="2072.23"/>
    <n v="33"/>
    <x v="3"/>
    <n v="1011.65"/>
    <n v="1084.28"/>
    <x v="0"/>
    <n v="7.0000000000000007E-2"/>
    <s v="Bank Transfer"/>
    <x v="1"/>
    <s v="North-Alice"/>
    <n v="35781.24"/>
    <n v="33384.449999999997"/>
    <n v="2396.7900000000009"/>
  </r>
  <r>
    <n v="1016"/>
    <x v="8"/>
    <x v="2"/>
    <x v="1"/>
    <n v="5848.92"/>
    <n v="46"/>
    <x v="0"/>
    <n v="1023.5"/>
    <n v="1164.4100000000001"/>
    <x v="0"/>
    <n v="0.28000000000000003"/>
    <s v="Credit Card"/>
    <x v="1"/>
    <s v="West-David"/>
    <n v="53562.86"/>
    <n v="47081"/>
    <n v="6481.8600000000006"/>
  </r>
  <r>
    <n v="1100"/>
    <x v="105"/>
    <x v="4"/>
    <x v="0"/>
    <n v="672.66"/>
    <n v="2"/>
    <x v="3"/>
    <n v="1036.76"/>
    <n v="1189.3499999999999"/>
    <x v="1"/>
    <n v="0.27"/>
    <s v="Bank Transfer"/>
    <x v="0"/>
    <s v="East-Eve"/>
    <n v="2378.6999999999998"/>
    <n v="2073.52"/>
    <n v="305.17999999999984"/>
  </r>
  <r>
    <n v="1063"/>
    <x v="152"/>
    <x v="0"/>
    <x v="3"/>
    <n v="6346.13"/>
    <n v="4"/>
    <x v="1"/>
    <n v="1046.26"/>
    <n v="1475.29"/>
    <x v="0"/>
    <n v="0.09"/>
    <s v="Bank Transfer"/>
    <x v="1"/>
    <s v="South-Bob"/>
    <n v="5901.16"/>
    <n v="4185.04"/>
    <n v="1716.12"/>
  </r>
  <r>
    <n v="1063"/>
    <x v="153"/>
    <x v="1"/>
    <x v="0"/>
    <n v="2780.98"/>
    <n v="26"/>
    <x v="2"/>
    <n v="1046.96"/>
    <n v="1528.15"/>
    <x v="1"/>
    <n v="7.0000000000000007E-2"/>
    <s v="Credit Card"/>
    <x v="1"/>
    <s v="East-Alice"/>
    <n v="39731.9"/>
    <n v="27220.959999999999"/>
    <n v="12510.940000000002"/>
  </r>
  <r>
    <n v="1093"/>
    <x v="154"/>
    <x v="3"/>
    <x v="2"/>
    <n v="9787.4"/>
    <n v="40"/>
    <x v="3"/>
    <n v="1047.25"/>
    <n v="1075.8900000000001"/>
    <x v="1"/>
    <n v="0.28000000000000003"/>
    <s v="Credit Card"/>
    <x v="1"/>
    <s v="North-Charlie"/>
    <n v="43035.600000000006"/>
    <n v="41890"/>
    <n v="1145.6000000000058"/>
  </r>
  <r>
    <n v="1062"/>
    <x v="63"/>
    <x v="0"/>
    <x v="0"/>
    <n v="3720.24"/>
    <n v="36"/>
    <x v="2"/>
    <n v="1050.6400000000001"/>
    <n v="1167.33"/>
    <x v="1"/>
    <n v="0.22"/>
    <s v="Cash"/>
    <x v="0"/>
    <s v="East-Bob"/>
    <n v="42023.88"/>
    <n v="37823.040000000001"/>
    <n v="4200.8399999999965"/>
  </r>
  <r>
    <n v="1039"/>
    <x v="130"/>
    <x v="4"/>
    <x v="3"/>
    <n v="3613.75"/>
    <n v="4"/>
    <x v="1"/>
    <n v="1054.1199999999999"/>
    <n v="1175.21999999999"/>
    <x v="0"/>
    <n v="0.12"/>
    <s v="Bank Transfer"/>
    <x v="1"/>
    <s v="South-Eve"/>
    <n v="4700.8799999999601"/>
    <n v="4216.4799999999996"/>
    <n v="484.39999999996053"/>
  </r>
  <r>
    <n v="1086"/>
    <x v="155"/>
    <x v="0"/>
    <x v="2"/>
    <n v="7075.09"/>
    <n v="17"/>
    <x v="2"/>
    <n v="1057.27"/>
    <n v="1366.62"/>
    <x v="1"/>
    <n v="0.21"/>
    <s v="Credit Card"/>
    <x v="1"/>
    <s v="North-Bob"/>
    <n v="23232.539999999997"/>
    <n v="17973.59"/>
    <n v="5258.9499999999971"/>
  </r>
  <r>
    <n v="1004"/>
    <x v="156"/>
    <x v="4"/>
    <x v="0"/>
    <n v="1526.38"/>
    <n v="16"/>
    <x v="0"/>
    <n v="1067.83"/>
    <n v="1189.22"/>
    <x v="0"/>
    <n v="0.26"/>
    <s v="Credit Card"/>
    <x v="1"/>
    <s v="East-Eve"/>
    <n v="19027.52"/>
    <n v="17085.28"/>
    <n v="1942.2400000000016"/>
  </r>
  <r>
    <n v="1017"/>
    <x v="157"/>
    <x v="1"/>
    <x v="3"/>
    <n v="3137.09"/>
    <n v="18"/>
    <x v="3"/>
    <n v="1069.73"/>
    <n v="1180.04"/>
    <x v="0"/>
    <n v="0.22"/>
    <s v="Bank Transfer"/>
    <x v="0"/>
    <s v="South-Alice"/>
    <n v="21240.720000000001"/>
    <n v="19255.14"/>
    <n v="1985.5800000000017"/>
  </r>
  <r>
    <n v="1037"/>
    <x v="158"/>
    <x v="3"/>
    <x v="0"/>
    <n v="3649.93"/>
    <n v="25"/>
    <x v="2"/>
    <n v="1074.6199999999999"/>
    <n v="1382.4299999999901"/>
    <x v="0"/>
    <n v="0.24"/>
    <s v="Credit Card"/>
    <x v="1"/>
    <s v="East-Charlie"/>
    <n v="34560.749999999753"/>
    <n v="26865.499999999996"/>
    <n v="7695.2499999997563"/>
  </r>
  <r>
    <n v="1085"/>
    <x v="0"/>
    <x v="3"/>
    <x v="3"/>
    <n v="2038.75"/>
    <n v="32"/>
    <x v="3"/>
    <n v="1074.93"/>
    <n v="1492.48"/>
    <x v="0"/>
    <n v="0.04"/>
    <s v="Credit Card"/>
    <x v="1"/>
    <s v="South-Charlie"/>
    <n v="47759.360000000001"/>
    <n v="34397.760000000002"/>
    <n v="13361.599999999999"/>
  </r>
  <r>
    <n v="1056"/>
    <x v="159"/>
    <x v="0"/>
    <x v="1"/>
    <n v="3063.9"/>
    <n v="42"/>
    <x v="3"/>
    <n v="1080.1199999999999"/>
    <n v="1424.1699999999901"/>
    <x v="1"/>
    <n v="0.1"/>
    <s v="Cash"/>
    <x v="0"/>
    <s v="West-Bob"/>
    <n v="59815.139999999585"/>
    <n v="45365.039999999994"/>
    <n v="14450.099999999591"/>
  </r>
  <r>
    <n v="1069"/>
    <x v="48"/>
    <x v="3"/>
    <x v="1"/>
    <n v="5760.29"/>
    <n v="44"/>
    <x v="1"/>
    <n v="1084.73"/>
    <n v="1420.9"/>
    <x v="0"/>
    <n v="0.05"/>
    <s v="Credit Card"/>
    <x v="0"/>
    <s v="West-Charlie"/>
    <n v="62519.600000000006"/>
    <n v="47728.12"/>
    <n v="14791.480000000003"/>
  </r>
  <r>
    <n v="1062"/>
    <x v="28"/>
    <x v="1"/>
    <x v="0"/>
    <n v="291.33999999999997"/>
    <n v="12"/>
    <x v="3"/>
    <n v="1088.99"/>
    <n v="1545"/>
    <x v="0"/>
    <n v="0.04"/>
    <s v="Bank Transfer"/>
    <x v="1"/>
    <s v="East-Alice"/>
    <n v="18540"/>
    <n v="13067.880000000001"/>
    <n v="5472.119999999999"/>
  </r>
  <r>
    <n v="1038"/>
    <x v="160"/>
    <x v="1"/>
    <x v="1"/>
    <n v="2758.77"/>
    <n v="42"/>
    <x v="2"/>
    <n v="1089.0899999999999"/>
    <n v="1355.44"/>
    <x v="1"/>
    <n v="0.06"/>
    <s v="Cash"/>
    <x v="1"/>
    <s v="West-Alice"/>
    <n v="56928.480000000003"/>
    <n v="45741.78"/>
    <n v="11186.700000000004"/>
  </r>
  <r>
    <n v="1100"/>
    <x v="35"/>
    <x v="0"/>
    <x v="1"/>
    <n v="2198.7399999999998"/>
    <n v="43"/>
    <x v="2"/>
    <n v="1100.81"/>
    <n v="1137.44"/>
    <x v="0"/>
    <n v="0.08"/>
    <s v="Bank Transfer"/>
    <x v="0"/>
    <s v="West-Bob"/>
    <n v="48909.920000000006"/>
    <n v="47334.829999999994"/>
    <n v="1575.0900000000111"/>
  </r>
  <r>
    <n v="1082"/>
    <x v="161"/>
    <x v="4"/>
    <x v="0"/>
    <n v="5677.61"/>
    <n v="46"/>
    <x v="2"/>
    <n v="1102.69"/>
    <n v="1437.12"/>
    <x v="1"/>
    <n v="0.11"/>
    <s v="Credit Card"/>
    <x v="0"/>
    <s v="East-Eve"/>
    <n v="66107.51999999999"/>
    <n v="50723.740000000005"/>
    <n v="15383.779999999984"/>
  </r>
  <r>
    <n v="1035"/>
    <x v="20"/>
    <x v="2"/>
    <x v="3"/>
    <n v="9417.1"/>
    <n v="34"/>
    <x v="2"/>
    <n v="1105.05"/>
    <n v="1200.96"/>
    <x v="0"/>
    <n v="0.19"/>
    <s v="Cash"/>
    <x v="0"/>
    <s v="South-David"/>
    <n v="40832.639999999999"/>
    <n v="37571.699999999997"/>
    <n v="3260.9400000000023"/>
  </r>
  <r>
    <n v="1025"/>
    <x v="162"/>
    <x v="2"/>
    <x v="1"/>
    <n v="4376.99"/>
    <n v="37"/>
    <x v="1"/>
    <n v="1115.02"/>
    <n v="1174.48"/>
    <x v="1"/>
    <n v="0.22"/>
    <s v="Credit Card"/>
    <x v="0"/>
    <s v="West-David"/>
    <n v="43455.76"/>
    <n v="41255.74"/>
    <n v="2200.0200000000041"/>
  </r>
  <r>
    <n v="1007"/>
    <x v="49"/>
    <x v="2"/>
    <x v="0"/>
    <n v="8088.96"/>
    <n v="14"/>
    <x v="3"/>
    <n v="1122.07"/>
    <n v="1608.76"/>
    <x v="1"/>
    <n v="0.22"/>
    <s v="Cash"/>
    <x v="1"/>
    <s v="East-David"/>
    <n v="22522.639999999999"/>
    <n v="15708.98"/>
    <n v="6813.66"/>
  </r>
  <r>
    <n v="1079"/>
    <x v="163"/>
    <x v="0"/>
    <x v="1"/>
    <n v="1558.03"/>
    <n v="38"/>
    <x v="3"/>
    <n v="1127.76"/>
    <n v="1265.6600000000001"/>
    <x v="0"/>
    <n v="0.26"/>
    <s v="Bank Transfer"/>
    <x v="1"/>
    <s v="West-Bob"/>
    <n v="48095.08"/>
    <n v="42854.879999999997"/>
    <n v="5240.2000000000044"/>
  </r>
  <r>
    <n v="1052"/>
    <x v="164"/>
    <x v="3"/>
    <x v="1"/>
    <n v="2858.57"/>
    <n v="18"/>
    <x v="2"/>
    <n v="1127.8599999999999"/>
    <n v="1586.29"/>
    <x v="1"/>
    <n v="0.04"/>
    <s v="Credit Card"/>
    <x v="0"/>
    <s v="West-Charlie"/>
    <n v="28553.22"/>
    <n v="20301.48"/>
    <n v="8251.7400000000016"/>
  </r>
  <r>
    <n v="1090"/>
    <x v="57"/>
    <x v="2"/>
    <x v="1"/>
    <n v="4883.49"/>
    <n v="35"/>
    <x v="1"/>
    <n v="1130.5999999999999"/>
    <n v="1466.1799999999901"/>
    <x v="0"/>
    <n v="0.13"/>
    <s v="Cash"/>
    <x v="0"/>
    <s v="West-David"/>
    <n v="51316.299999999654"/>
    <n v="39571"/>
    <n v="11745.299999999654"/>
  </r>
  <r>
    <n v="1063"/>
    <x v="16"/>
    <x v="3"/>
    <x v="2"/>
    <n v="9775.35"/>
    <n v="4"/>
    <x v="0"/>
    <n v="1134.67"/>
    <n v="1201.3900000000001"/>
    <x v="1"/>
    <n v="0.3"/>
    <s v="Bank Transfer"/>
    <x v="1"/>
    <s v="North-Charlie"/>
    <n v="4805.5600000000004"/>
    <n v="4538.68"/>
    <n v="266.88000000000011"/>
  </r>
  <r>
    <n v="1074"/>
    <x v="165"/>
    <x v="1"/>
    <x v="3"/>
    <n v="3320.38"/>
    <n v="31"/>
    <x v="3"/>
    <n v="1138.32"/>
    <n v="1266.25"/>
    <x v="0"/>
    <n v="0.14000000000000001"/>
    <s v="Cash"/>
    <x v="1"/>
    <s v="South-Alice"/>
    <n v="39253.75"/>
    <n v="35287.919999999998"/>
    <n v="3965.8300000000017"/>
  </r>
  <r>
    <n v="1042"/>
    <x v="166"/>
    <x v="4"/>
    <x v="3"/>
    <n v="3955.11"/>
    <n v="27"/>
    <x v="0"/>
    <n v="1139.45"/>
    <n v="1454.41"/>
    <x v="0"/>
    <n v="0.3"/>
    <s v="Bank Transfer"/>
    <x v="0"/>
    <s v="South-Eve"/>
    <n v="39269.07"/>
    <n v="30765.15"/>
    <n v="8503.9199999999983"/>
  </r>
  <r>
    <n v="1068"/>
    <x v="167"/>
    <x v="4"/>
    <x v="0"/>
    <n v="3905.11"/>
    <n v="14"/>
    <x v="2"/>
    <n v="1140.58"/>
    <n v="1438.76"/>
    <x v="0"/>
    <n v="0.03"/>
    <s v="Bank Transfer"/>
    <x v="0"/>
    <s v="East-Eve"/>
    <n v="20142.64"/>
    <n v="15968.119999999999"/>
    <n v="4174.5200000000004"/>
  </r>
  <r>
    <n v="1018"/>
    <x v="158"/>
    <x v="2"/>
    <x v="2"/>
    <n v="7019.59"/>
    <n v="20"/>
    <x v="3"/>
    <n v="1140.6199999999999"/>
    <n v="1258.6299999999901"/>
    <x v="0"/>
    <n v="0.26"/>
    <s v="Bank Transfer"/>
    <x v="0"/>
    <s v="North-David"/>
    <n v="25172.599999999802"/>
    <n v="22812.399999999998"/>
    <n v="2360.1999999998043"/>
  </r>
  <r>
    <n v="1080"/>
    <x v="168"/>
    <x v="3"/>
    <x v="3"/>
    <n v="245.46"/>
    <n v="9"/>
    <x v="1"/>
    <n v="1141.52"/>
    <n v="1550.19"/>
    <x v="1"/>
    <n v="0.28000000000000003"/>
    <s v="Credit Card"/>
    <x v="1"/>
    <s v="South-Charlie"/>
    <n v="13951.710000000001"/>
    <n v="10273.68"/>
    <n v="3678.0300000000007"/>
  </r>
  <r>
    <n v="1068"/>
    <x v="153"/>
    <x v="1"/>
    <x v="3"/>
    <n v="7262.13"/>
    <n v="21"/>
    <x v="2"/>
    <n v="1142.53"/>
    <n v="1384.3"/>
    <x v="0"/>
    <n v="0.02"/>
    <s v="Credit Card"/>
    <x v="1"/>
    <s v="South-Alice"/>
    <n v="29070.3"/>
    <n v="23993.13"/>
    <n v="5077.1699999999983"/>
  </r>
  <r>
    <n v="1010"/>
    <x v="169"/>
    <x v="1"/>
    <x v="3"/>
    <n v="3329.91"/>
    <n v="49"/>
    <x v="2"/>
    <n v="1150.3"/>
    <n v="1306.02"/>
    <x v="1"/>
    <n v="0.06"/>
    <s v="Credit Card"/>
    <x v="1"/>
    <s v="South-Alice"/>
    <n v="63994.979999999996"/>
    <n v="56364.7"/>
    <n v="7630.2799999999988"/>
  </r>
  <r>
    <n v="1027"/>
    <x v="3"/>
    <x v="4"/>
    <x v="1"/>
    <n v="3668.23"/>
    <n v="45"/>
    <x v="2"/>
    <n v="1153.9000000000001"/>
    <n v="1485.34"/>
    <x v="1"/>
    <n v="0.25"/>
    <s v="Credit Card"/>
    <x v="1"/>
    <s v="West-Eve"/>
    <n v="66840.3"/>
    <n v="51925.500000000007"/>
    <n v="14914.799999999996"/>
  </r>
  <r>
    <n v="1056"/>
    <x v="170"/>
    <x v="0"/>
    <x v="2"/>
    <n v="2809.04"/>
    <n v="25"/>
    <x v="0"/>
    <n v="1154.28"/>
    <n v="1408.4"/>
    <x v="0"/>
    <n v="0.28999999999999998"/>
    <s v="Bank Transfer"/>
    <x v="1"/>
    <s v="North-Bob"/>
    <n v="35210"/>
    <n v="28857"/>
    <n v="6353"/>
  </r>
  <r>
    <n v="1026"/>
    <x v="171"/>
    <x v="1"/>
    <x v="0"/>
    <n v="3784.52"/>
    <n v="25"/>
    <x v="1"/>
    <n v="1156.8800000000001"/>
    <n v="1454.68"/>
    <x v="0"/>
    <n v="0.06"/>
    <s v="Credit Card"/>
    <x v="0"/>
    <s v="East-Alice"/>
    <n v="36367"/>
    <n v="28922.000000000004"/>
    <n v="7444.9999999999964"/>
  </r>
  <r>
    <n v="1083"/>
    <x v="172"/>
    <x v="2"/>
    <x v="0"/>
    <n v="757.99"/>
    <n v="34"/>
    <x v="0"/>
    <n v="1167.9100000000001"/>
    <n v="1547.26"/>
    <x v="1"/>
    <n v="0.11"/>
    <s v="Bank Transfer"/>
    <x v="0"/>
    <s v="East-David"/>
    <n v="52606.84"/>
    <n v="39708.94"/>
    <n v="12897.899999999994"/>
  </r>
  <r>
    <n v="1063"/>
    <x v="81"/>
    <x v="3"/>
    <x v="3"/>
    <n v="4947.28"/>
    <n v="42"/>
    <x v="2"/>
    <n v="1170.07"/>
    <n v="1669.94999999999"/>
    <x v="0"/>
    <n v="0.12"/>
    <s v="Bank Transfer"/>
    <x v="1"/>
    <s v="South-Charlie"/>
    <n v="70137.899999999587"/>
    <n v="49142.939999999995"/>
    <n v="20994.959999999592"/>
  </r>
  <r>
    <n v="1012"/>
    <x v="0"/>
    <x v="2"/>
    <x v="2"/>
    <n v="4976.43"/>
    <n v="14"/>
    <x v="1"/>
    <n v="1185.5"/>
    <n v="1271.45"/>
    <x v="0"/>
    <n v="0.03"/>
    <s v="Bank Transfer"/>
    <x v="1"/>
    <s v="North-David"/>
    <n v="17800.3"/>
    <n v="16597"/>
    <n v="1203.2999999999993"/>
  </r>
  <r>
    <n v="1062"/>
    <x v="173"/>
    <x v="2"/>
    <x v="1"/>
    <n v="3979.41"/>
    <n v="11"/>
    <x v="1"/>
    <n v="1190.08"/>
    <n v="1292.9399999999901"/>
    <x v="0"/>
    <n v="0.13"/>
    <s v="Cash"/>
    <x v="1"/>
    <s v="West-David"/>
    <n v="14222.339999999891"/>
    <n v="13090.88"/>
    <n v="1131.4599999998918"/>
  </r>
  <r>
    <n v="1060"/>
    <x v="174"/>
    <x v="0"/>
    <x v="3"/>
    <n v="2747.28"/>
    <n v="3"/>
    <x v="1"/>
    <n v="1190.4100000000001"/>
    <n v="1582.89"/>
    <x v="1"/>
    <n v="0.02"/>
    <s v="Credit Card"/>
    <x v="1"/>
    <s v="South-Bob"/>
    <n v="4748.67"/>
    <n v="3571.2300000000005"/>
    <n v="1177.4399999999996"/>
  </r>
  <r>
    <n v="1033"/>
    <x v="95"/>
    <x v="3"/>
    <x v="0"/>
    <n v="7171.83"/>
    <n v="44"/>
    <x v="1"/>
    <n v="1195.22"/>
    <n v="1320.06"/>
    <x v="0"/>
    <n v="0.23"/>
    <s v="Bank Transfer"/>
    <x v="1"/>
    <s v="East-Charlie"/>
    <n v="58082.64"/>
    <n v="52589.68"/>
    <n v="5492.9599999999991"/>
  </r>
  <r>
    <n v="1082"/>
    <x v="175"/>
    <x v="1"/>
    <x v="3"/>
    <n v="6261.9"/>
    <n v="41"/>
    <x v="1"/>
    <n v="1196.42"/>
    <n v="1444.97"/>
    <x v="0"/>
    <n v="0.21"/>
    <s v="Bank Transfer"/>
    <x v="0"/>
    <s v="South-Alice"/>
    <n v="59243.770000000004"/>
    <n v="49053.22"/>
    <n v="10190.550000000003"/>
  </r>
  <r>
    <n v="1005"/>
    <x v="176"/>
    <x v="2"/>
    <x v="1"/>
    <n v="152.6"/>
    <n v="43"/>
    <x v="3"/>
    <n v="1200.4000000000001"/>
    <n v="1430.45"/>
    <x v="1"/>
    <n v="0.08"/>
    <s v="Bank Transfer"/>
    <x v="1"/>
    <s v="West-David"/>
    <n v="61509.35"/>
    <n v="51617.200000000004"/>
    <n v="9892.1499999999942"/>
  </r>
  <r>
    <n v="1046"/>
    <x v="29"/>
    <x v="3"/>
    <x v="0"/>
    <n v="9709.7000000000007"/>
    <n v="3"/>
    <x v="3"/>
    <n v="1216.1600000000001"/>
    <n v="1295.3699999999999"/>
    <x v="1"/>
    <n v="0.14000000000000001"/>
    <s v="Cash"/>
    <x v="1"/>
    <s v="East-Charlie"/>
    <n v="3886.1099999999997"/>
    <n v="3648.4800000000005"/>
    <n v="237.6299999999992"/>
  </r>
  <r>
    <n v="1068"/>
    <x v="0"/>
    <x v="3"/>
    <x v="1"/>
    <n v="3607.29"/>
    <n v="42"/>
    <x v="0"/>
    <n v="1218.18"/>
    <n v="1566.36"/>
    <x v="0"/>
    <n v="0.03"/>
    <s v="Credit Card"/>
    <x v="1"/>
    <s v="West-Charlie"/>
    <n v="65787.12"/>
    <n v="51163.560000000005"/>
    <n v="14623.55999999999"/>
  </r>
  <r>
    <n v="1061"/>
    <x v="56"/>
    <x v="3"/>
    <x v="0"/>
    <n v="3988.03"/>
    <n v="29"/>
    <x v="0"/>
    <n v="1221.74"/>
    <n v="1611.92"/>
    <x v="1"/>
    <n v="0.15"/>
    <s v="Cash"/>
    <x v="1"/>
    <s v="East-Charlie"/>
    <n v="46745.68"/>
    <n v="35430.46"/>
    <n v="11315.220000000001"/>
  </r>
  <r>
    <n v="1013"/>
    <x v="177"/>
    <x v="3"/>
    <x v="0"/>
    <n v="2985.46"/>
    <n v="16"/>
    <x v="3"/>
    <n v="1222.1500000000001"/>
    <n v="1284.3599999999999"/>
    <x v="0"/>
    <n v="0.03"/>
    <s v="Credit Card"/>
    <x v="1"/>
    <s v="East-Charlie"/>
    <n v="20549.759999999998"/>
    <n v="19554.400000000001"/>
    <n v="995.35999999999694"/>
  </r>
  <r>
    <n v="1021"/>
    <x v="134"/>
    <x v="3"/>
    <x v="2"/>
    <n v="3777.53"/>
    <n v="19"/>
    <x v="1"/>
    <n v="1222.4000000000001"/>
    <n v="1464.71"/>
    <x v="1"/>
    <n v="0"/>
    <s v="Credit Card"/>
    <x v="1"/>
    <s v="North-Charlie"/>
    <n v="27829.49"/>
    <n v="23225.600000000002"/>
    <n v="4603.8899999999994"/>
  </r>
  <r>
    <n v="1017"/>
    <x v="178"/>
    <x v="3"/>
    <x v="3"/>
    <n v="4882.09"/>
    <n v="19"/>
    <x v="1"/>
    <n v="1233.1199999999999"/>
    <n v="1697.1899999999901"/>
    <x v="1"/>
    <n v="0.1"/>
    <s v="Credit Card"/>
    <x v="0"/>
    <s v="South-Charlie"/>
    <n v="32246.609999999811"/>
    <n v="23429.279999999999"/>
    <n v="8817.3299999998126"/>
  </r>
  <r>
    <n v="1028"/>
    <x v="179"/>
    <x v="1"/>
    <x v="2"/>
    <n v="5755.48"/>
    <n v="38"/>
    <x v="0"/>
    <n v="1234.69"/>
    <n v="1511.26"/>
    <x v="1"/>
    <n v="0.1"/>
    <s v="Bank Transfer"/>
    <x v="0"/>
    <s v="North-Alice"/>
    <n v="57427.88"/>
    <n v="46918.22"/>
    <n v="10509.659999999996"/>
  </r>
  <r>
    <n v="1081"/>
    <x v="167"/>
    <x v="1"/>
    <x v="2"/>
    <n v="7215.52"/>
    <n v="23"/>
    <x v="1"/>
    <n v="1236.25"/>
    <n v="1543.38"/>
    <x v="1"/>
    <n v="0.1"/>
    <s v="Bank Transfer"/>
    <x v="0"/>
    <s v="North-Alice"/>
    <n v="35497.740000000005"/>
    <n v="28433.75"/>
    <n v="7063.9900000000052"/>
  </r>
  <r>
    <n v="1065"/>
    <x v="76"/>
    <x v="0"/>
    <x v="0"/>
    <n v="9183.11"/>
    <n v="18"/>
    <x v="2"/>
    <n v="1239.0899999999999"/>
    <n v="1273.98"/>
    <x v="1"/>
    <n v="0.02"/>
    <s v="Bank Transfer"/>
    <x v="1"/>
    <s v="East-Bob"/>
    <n v="22931.64"/>
    <n v="22303.62"/>
    <n v="628.02000000000044"/>
  </r>
  <r>
    <n v="1036"/>
    <x v="7"/>
    <x v="2"/>
    <x v="2"/>
    <n v="6499.94"/>
    <n v="49"/>
    <x v="0"/>
    <n v="1247.0999999999999"/>
    <n v="1429.4399999999901"/>
    <x v="1"/>
    <n v="0.16"/>
    <s v="Cash"/>
    <x v="0"/>
    <s v="North-David"/>
    <n v="70042.559999999517"/>
    <n v="61107.899999999994"/>
    <n v="8934.6599999995233"/>
  </r>
  <r>
    <n v="1047"/>
    <x v="170"/>
    <x v="2"/>
    <x v="2"/>
    <n v="7405.06"/>
    <n v="43"/>
    <x v="1"/>
    <n v="1249.17"/>
    <n v="1727.15"/>
    <x v="1"/>
    <n v="0.08"/>
    <s v="Cash"/>
    <x v="1"/>
    <s v="North-David"/>
    <n v="74267.45"/>
    <n v="53714.310000000005"/>
    <n v="20553.139999999992"/>
  </r>
  <r>
    <n v="1025"/>
    <x v="164"/>
    <x v="0"/>
    <x v="3"/>
    <n v="6030.54"/>
    <n v="11"/>
    <x v="2"/>
    <n v="1250.5899999999999"/>
    <n v="1515.48999999999"/>
    <x v="0"/>
    <n v="0.21"/>
    <s v="Bank Transfer"/>
    <x v="1"/>
    <s v="South-Bob"/>
    <n v="16670.38999999989"/>
    <n v="13756.49"/>
    <n v="2913.8999999998905"/>
  </r>
  <r>
    <n v="1024"/>
    <x v="180"/>
    <x v="1"/>
    <x v="3"/>
    <n v="9602.64"/>
    <n v="35"/>
    <x v="1"/>
    <n v="1258.53"/>
    <n v="1624.8899999999901"/>
    <x v="1"/>
    <n v="0.08"/>
    <s v="Credit Card"/>
    <x v="0"/>
    <s v="South-Alice"/>
    <n v="56871.149999999652"/>
    <n v="44048.549999999996"/>
    <n v="12822.599999999657"/>
  </r>
  <r>
    <n v="1026"/>
    <x v="80"/>
    <x v="1"/>
    <x v="1"/>
    <n v="1554.93"/>
    <n v="19"/>
    <x v="1"/>
    <n v="1265.48"/>
    <n v="1715.83"/>
    <x v="1"/>
    <n v="0.05"/>
    <s v="Credit Card"/>
    <x v="1"/>
    <s v="West-Alice"/>
    <n v="32600.769999999997"/>
    <n v="24044.12"/>
    <n v="8556.6499999999978"/>
  </r>
  <r>
    <n v="1038"/>
    <x v="10"/>
    <x v="2"/>
    <x v="0"/>
    <n v="6966.82"/>
    <n v="1"/>
    <x v="2"/>
    <n v="1281.6500000000001"/>
    <n v="1709.71"/>
    <x v="0"/>
    <n v="0.14000000000000001"/>
    <s v="Credit Card"/>
    <x v="0"/>
    <s v="East-David"/>
    <n v="1709.71"/>
    <n v="1281.6500000000001"/>
    <n v="428.05999999999995"/>
  </r>
  <r>
    <n v="1057"/>
    <x v="181"/>
    <x v="0"/>
    <x v="0"/>
    <n v="7084.06"/>
    <n v="26"/>
    <x v="0"/>
    <n v="1291.82"/>
    <n v="1308.4399999999901"/>
    <x v="0"/>
    <n v="7.0000000000000007E-2"/>
    <s v="Credit Card"/>
    <x v="0"/>
    <s v="East-Bob"/>
    <n v="34019.43999999974"/>
    <n v="33587.32"/>
    <n v="432.11999999974068"/>
  </r>
  <r>
    <n v="1032"/>
    <x v="87"/>
    <x v="1"/>
    <x v="2"/>
    <n v="3035.94"/>
    <n v="17"/>
    <x v="0"/>
    <n v="1291.9100000000001"/>
    <n v="1528.59"/>
    <x v="0"/>
    <n v="0.11"/>
    <s v="Credit Card"/>
    <x v="1"/>
    <s v="North-Alice"/>
    <n v="25986.03"/>
    <n v="21962.47"/>
    <n v="4023.5599999999977"/>
  </r>
  <r>
    <n v="1021"/>
    <x v="182"/>
    <x v="4"/>
    <x v="2"/>
    <n v="2265.2800000000002"/>
    <n v="22"/>
    <x v="1"/>
    <n v="1296.44"/>
    <n v="1751.24"/>
    <x v="1"/>
    <n v="0.22"/>
    <s v="Cash"/>
    <x v="0"/>
    <s v="North-Eve"/>
    <n v="38527.279999999999"/>
    <n v="28521.68"/>
    <n v="10005.599999999999"/>
  </r>
  <r>
    <n v="1035"/>
    <x v="183"/>
    <x v="2"/>
    <x v="0"/>
    <n v="613.16999999999996"/>
    <n v="30"/>
    <x v="0"/>
    <n v="1300.03"/>
    <n v="1745.52"/>
    <x v="1"/>
    <n v="0.09"/>
    <s v="Cash"/>
    <x v="1"/>
    <s v="East-David"/>
    <n v="52365.599999999999"/>
    <n v="39000.9"/>
    <n v="13364.699999999997"/>
  </r>
  <r>
    <n v="1074"/>
    <x v="165"/>
    <x v="0"/>
    <x v="1"/>
    <n v="1383.82"/>
    <n v="1"/>
    <x v="3"/>
    <n v="1304.23"/>
    <n v="1705.71"/>
    <x v="0"/>
    <n v="0.01"/>
    <s v="Cash"/>
    <x v="1"/>
    <s v="West-Bob"/>
    <n v="1705.71"/>
    <n v="1304.23"/>
    <n v="401.48"/>
  </r>
  <r>
    <n v="1058"/>
    <x v="184"/>
    <x v="4"/>
    <x v="0"/>
    <n v="5463.43"/>
    <n v="49"/>
    <x v="3"/>
    <n v="1307.22"/>
    <n v="1528.4"/>
    <x v="0"/>
    <n v="0.24"/>
    <s v="Cash"/>
    <x v="1"/>
    <s v="East-Eve"/>
    <n v="74891.600000000006"/>
    <n v="64053.78"/>
    <n v="10837.820000000007"/>
  </r>
  <r>
    <n v="1037"/>
    <x v="108"/>
    <x v="1"/>
    <x v="3"/>
    <n v="4606.2"/>
    <n v="17"/>
    <x v="1"/>
    <n v="1308.58"/>
    <n v="1575.59"/>
    <x v="1"/>
    <n v="0.3"/>
    <s v="Cash"/>
    <x v="0"/>
    <s v="South-Alice"/>
    <n v="26785.03"/>
    <n v="22245.86"/>
    <n v="4539.1699999999983"/>
  </r>
  <r>
    <n v="1012"/>
    <x v="185"/>
    <x v="2"/>
    <x v="1"/>
    <n v="8070.39"/>
    <n v="13"/>
    <x v="2"/>
    <n v="1311.01"/>
    <n v="1538.79"/>
    <x v="0"/>
    <n v="0.09"/>
    <s v="Bank Transfer"/>
    <x v="1"/>
    <s v="West-David"/>
    <n v="20004.27"/>
    <n v="17043.13"/>
    <n v="2961.1399999999994"/>
  </r>
  <r>
    <n v="1013"/>
    <x v="114"/>
    <x v="1"/>
    <x v="1"/>
    <n v="7646.8"/>
    <n v="35"/>
    <x v="1"/>
    <n v="1312.71"/>
    <n v="1352.11"/>
    <x v="0"/>
    <n v="0.22"/>
    <s v="Bank Transfer"/>
    <x v="1"/>
    <s v="West-Alice"/>
    <n v="47323.85"/>
    <n v="45944.85"/>
    <n v="1379"/>
  </r>
  <r>
    <n v="1042"/>
    <x v="186"/>
    <x v="1"/>
    <x v="0"/>
    <n v="5947.31"/>
    <n v="23"/>
    <x v="1"/>
    <n v="1314"/>
    <n v="1567.78"/>
    <x v="0"/>
    <n v="0.15"/>
    <s v="Credit Card"/>
    <x v="1"/>
    <s v="East-Alice"/>
    <n v="36058.94"/>
    <n v="30222"/>
    <n v="5836.9400000000023"/>
  </r>
  <r>
    <n v="1066"/>
    <x v="187"/>
    <x v="4"/>
    <x v="0"/>
    <n v="7391.7"/>
    <n v="47"/>
    <x v="2"/>
    <n v="1319.24"/>
    <n v="1805.56"/>
    <x v="1"/>
    <n v="0.26"/>
    <s v="Credit Card"/>
    <x v="1"/>
    <s v="East-Eve"/>
    <n v="84861.319999999992"/>
    <n v="62004.28"/>
    <n v="22857.039999999994"/>
  </r>
  <r>
    <n v="1011"/>
    <x v="172"/>
    <x v="4"/>
    <x v="2"/>
    <n v="2896.48"/>
    <n v="22"/>
    <x v="1"/>
    <n v="1324.52"/>
    <n v="1510.3"/>
    <x v="0"/>
    <n v="0.15"/>
    <s v="Cash"/>
    <x v="1"/>
    <s v="North-Eve"/>
    <n v="33226.6"/>
    <n v="29139.439999999999"/>
    <n v="4087.16"/>
  </r>
  <r>
    <n v="1001"/>
    <x v="55"/>
    <x v="4"/>
    <x v="0"/>
    <n v="3167.09"/>
    <n v="25"/>
    <x v="1"/>
    <n v="1330.62"/>
    <n v="1543.6899999999901"/>
    <x v="1"/>
    <n v="0.27"/>
    <s v="Credit Card"/>
    <x v="0"/>
    <s v="East-Eve"/>
    <n v="38592.249999999753"/>
    <n v="33265.5"/>
    <n v="5326.7499999997526"/>
  </r>
  <r>
    <n v="1095"/>
    <x v="111"/>
    <x v="4"/>
    <x v="3"/>
    <n v="8057.67"/>
    <n v="43"/>
    <x v="3"/>
    <n v="1331.86"/>
    <n v="1758.98"/>
    <x v="0"/>
    <n v="0.23"/>
    <s v="Bank Transfer"/>
    <x v="1"/>
    <s v="South-Eve"/>
    <n v="75636.14"/>
    <n v="57269.979999999996"/>
    <n v="18366.160000000003"/>
  </r>
  <r>
    <n v="1065"/>
    <x v="188"/>
    <x v="4"/>
    <x v="3"/>
    <n v="8840.86"/>
    <n v="13"/>
    <x v="3"/>
    <n v="1339"/>
    <n v="1441.88"/>
    <x v="0"/>
    <n v="0.23"/>
    <s v="Credit Card"/>
    <x v="1"/>
    <s v="South-Eve"/>
    <n v="18744.440000000002"/>
    <n v="17407"/>
    <n v="1337.4400000000023"/>
  </r>
  <r>
    <n v="1019"/>
    <x v="89"/>
    <x v="2"/>
    <x v="0"/>
    <n v="8902.3700000000008"/>
    <n v="36"/>
    <x v="0"/>
    <n v="1340.51"/>
    <n v="1567.92"/>
    <x v="1"/>
    <n v="0.28999999999999998"/>
    <s v="Cash"/>
    <x v="0"/>
    <s v="East-David"/>
    <n v="56445.120000000003"/>
    <n v="48258.36"/>
    <n v="8186.760000000002"/>
  </r>
  <r>
    <n v="1047"/>
    <x v="68"/>
    <x v="2"/>
    <x v="2"/>
    <n v="1331.25"/>
    <n v="33"/>
    <x v="1"/>
    <n v="1341.55"/>
    <n v="1427.21"/>
    <x v="0"/>
    <n v="0.15"/>
    <s v="Credit Card"/>
    <x v="0"/>
    <s v="North-David"/>
    <n v="47097.93"/>
    <n v="44271.15"/>
    <n v="2826.7799999999988"/>
  </r>
  <r>
    <n v="1033"/>
    <x v="189"/>
    <x v="1"/>
    <x v="1"/>
    <n v="1740.92"/>
    <n v="24"/>
    <x v="0"/>
    <n v="1345.67"/>
    <n v="1367.76"/>
    <x v="1"/>
    <n v="0.06"/>
    <s v="Bank Transfer"/>
    <x v="0"/>
    <s v="West-Alice"/>
    <n v="32826.239999999998"/>
    <n v="32296.080000000002"/>
    <n v="530.15999999999622"/>
  </r>
  <r>
    <n v="1082"/>
    <x v="190"/>
    <x v="2"/>
    <x v="3"/>
    <n v="6994.66"/>
    <n v="2"/>
    <x v="3"/>
    <n v="1349.3"/>
    <n v="1576.69"/>
    <x v="0"/>
    <n v="0.12"/>
    <s v="Credit Card"/>
    <x v="0"/>
    <s v="South-David"/>
    <n v="3153.38"/>
    <n v="2698.6"/>
    <n v="454.7800000000002"/>
  </r>
  <r>
    <n v="1090"/>
    <x v="128"/>
    <x v="2"/>
    <x v="2"/>
    <n v="5076.05"/>
    <n v="14"/>
    <x v="1"/>
    <n v="1350.47"/>
    <n v="1514.61"/>
    <x v="1"/>
    <n v="0.2"/>
    <s v="Credit Card"/>
    <x v="1"/>
    <s v="North-David"/>
    <n v="21204.539999999997"/>
    <n v="18906.580000000002"/>
    <n v="2297.9599999999955"/>
  </r>
  <r>
    <n v="1081"/>
    <x v="191"/>
    <x v="3"/>
    <x v="1"/>
    <n v="2896.71"/>
    <n v="44"/>
    <x v="1"/>
    <n v="1362.15"/>
    <n v="1844.07"/>
    <x v="1"/>
    <n v="0.28999999999999998"/>
    <s v="Credit Card"/>
    <x v="0"/>
    <s v="West-Charlie"/>
    <n v="81139.08"/>
    <n v="59934.600000000006"/>
    <n v="21204.479999999996"/>
  </r>
  <r>
    <n v="1019"/>
    <x v="192"/>
    <x v="0"/>
    <x v="0"/>
    <n v="7632.43"/>
    <n v="33"/>
    <x v="3"/>
    <n v="1362.31"/>
    <n v="1486.29"/>
    <x v="0"/>
    <n v="0.18"/>
    <s v="Credit Card"/>
    <x v="1"/>
    <s v="East-Bob"/>
    <n v="49047.57"/>
    <n v="44956.229999999996"/>
    <n v="4091.3400000000038"/>
  </r>
  <r>
    <n v="1018"/>
    <x v="2"/>
    <x v="1"/>
    <x v="1"/>
    <n v="8579.7199999999993"/>
    <n v="24"/>
    <x v="1"/>
    <n v="1362.78"/>
    <n v="1729.81"/>
    <x v="1"/>
    <n v="0.28999999999999998"/>
    <s v="Bank Transfer"/>
    <x v="0"/>
    <s v="West-Alice"/>
    <n v="41515.440000000002"/>
    <n v="32706.720000000001"/>
    <n v="8808.7200000000012"/>
  </r>
  <r>
    <n v="1061"/>
    <x v="164"/>
    <x v="1"/>
    <x v="2"/>
    <n v="1990.17"/>
    <n v="45"/>
    <x v="0"/>
    <n v="1364.51"/>
    <n v="1844.8"/>
    <x v="0"/>
    <n v="0.18"/>
    <s v="Cash"/>
    <x v="0"/>
    <s v="North-Alice"/>
    <n v="83016"/>
    <n v="61402.95"/>
    <n v="21613.050000000003"/>
  </r>
  <r>
    <n v="1030"/>
    <x v="105"/>
    <x v="4"/>
    <x v="0"/>
    <n v="6951.53"/>
    <n v="24"/>
    <x v="0"/>
    <n v="1370.52"/>
    <n v="1482.58"/>
    <x v="0"/>
    <n v="0.2"/>
    <s v="Credit Card"/>
    <x v="1"/>
    <s v="East-Eve"/>
    <n v="35581.919999999998"/>
    <n v="32892.479999999996"/>
    <n v="2689.4400000000023"/>
  </r>
  <r>
    <n v="1001"/>
    <x v="164"/>
    <x v="2"/>
    <x v="1"/>
    <n v="8803.94"/>
    <n v="45"/>
    <x v="0"/>
    <n v="1372.36"/>
    <n v="1687.83"/>
    <x v="1"/>
    <n v="0.02"/>
    <s v="Credit Card"/>
    <x v="0"/>
    <s v="West-David"/>
    <n v="75952.349999999991"/>
    <n v="61756.2"/>
    <n v="14196.149999999994"/>
  </r>
  <r>
    <n v="1013"/>
    <x v="193"/>
    <x v="4"/>
    <x v="2"/>
    <n v="7255.1"/>
    <n v="42"/>
    <x v="3"/>
    <n v="1375.57"/>
    <n v="1729.71"/>
    <x v="1"/>
    <n v="0.04"/>
    <s v="Cash"/>
    <x v="0"/>
    <s v="North-Eve"/>
    <n v="72647.820000000007"/>
    <n v="57773.939999999995"/>
    <n v="14873.880000000012"/>
  </r>
  <r>
    <n v="1005"/>
    <x v="110"/>
    <x v="4"/>
    <x v="2"/>
    <n v="833.64"/>
    <n v="2"/>
    <x v="0"/>
    <n v="1392.15"/>
    <n v="1448.54"/>
    <x v="0"/>
    <n v="0.02"/>
    <s v="Bank Transfer"/>
    <x v="1"/>
    <s v="North-Eve"/>
    <n v="2897.08"/>
    <n v="2784.3"/>
    <n v="112.77999999999975"/>
  </r>
  <r>
    <n v="1002"/>
    <x v="194"/>
    <x v="4"/>
    <x v="2"/>
    <n v="3737.17"/>
    <n v="44"/>
    <x v="3"/>
    <n v="1393.58"/>
    <n v="1533.09"/>
    <x v="0"/>
    <n v="0.24"/>
    <s v="Credit Card"/>
    <x v="1"/>
    <s v="North-Eve"/>
    <n v="67455.959999999992"/>
    <n v="61317.52"/>
    <n v="6138.4399999999951"/>
  </r>
  <r>
    <n v="1008"/>
    <x v="195"/>
    <x v="4"/>
    <x v="2"/>
    <n v="1403.98"/>
    <n v="24"/>
    <x v="0"/>
    <n v="1394.17"/>
    <n v="1891.02"/>
    <x v="1"/>
    <n v="0.21"/>
    <s v="Credit Card"/>
    <x v="0"/>
    <s v="North-Eve"/>
    <n v="45384.479999999996"/>
    <n v="33460.080000000002"/>
    <n v="11924.399999999994"/>
  </r>
  <r>
    <n v="1074"/>
    <x v="196"/>
    <x v="4"/>
    <x v="3"/>
    <n v="7508.72"/>
    <n v="38"/>
    <x v="3"/>
    <n v="1394.74"/>
    <n v="1848.69"/>
    <x v="0"/>
    <n v="0"/>
    <s v="Bank Transfer"/>
    <x v="1"/>
    <s v="South-Eve"/>
    <n v="70250.22"/>
    <n v="53000.12"/>
    <n v="17250.099999999999"/>
  </r>
  <r>
    <n v="1042"/>
    <x v="190"/>
    <x v="0"/>
    <x v="0"/>
    <n v="848.28"/>
    <n v="1"/>
    <x v="1"/>
    <n v="1406.24"/>
    <n v="1535.57"/>
    <x v="1"/>
    <n v="0.08"/>
    <s v="Credit Card"/>
    <x v="1"/>
    <s v="East-Bob"/>
    <n v="1535.57"/>
    <n v="1406.24"/>
    <n v="129.32999999999993"/>
  </r>
  <r>
    <n v="1079"/>
    <x v="197"/>
    <x v="2"/>
    <x v="2"/>
    <n v="1107.8599999999999"/>
    <n v="45"/>
    <x v="0"/>
    <n v="1406.9"/>
    <n v="1547.35"/>
    <x v="1"/>
    <n v="0.17"/>
    <s v="Cash"/>
    <x v="1"/>
    <s v="North-David"/>
    <n v="69630.75"/>
    <n v="63310.500000000007"/>
    <n v="6320.2499999999927"/>
  </r>
  <r>
    <n v="1081"/>
    <x v="163"/>
    <x v="3"/>
    <x v="2"/>
    <n v="5571.36"/>
    <n v="23"/>
    <x v="2"/>
    <n v="1411.37"/>
    <n v="1675.35"/>
    <x v="1"/>
    <n v="0.21"/>
    <s v="Cash"/>
    <x v="1"/>
    <s v="North-Charlie"/>
    <n v="38533.049999999996"/>
    <n v="32461.51"/>
    <n v="6071.5399999999972"/>
  </r>
  <r>
    <n v="1033"/>
    <x v="153"/>
    <x v="4"/>
    <x v="0"/>
    <n v="3953.38"/>
    <n v="29"/>
    <x v="0"/>
    <n v="1412.09"/>
    <n v="1596.6499999999901"/>
    <x v="0"/>
    <n v="7.0000000000000007E-2"/>
    <s v="Cash"/>
    <x v="0"/>
    <s v="East-Eve"/>
    <n v="46302.849999999715"/>
    <n v="40950.61"/>
    <n v="5352.2399999997142"/>
  </r>
  <r>
    <n v="1012"/>
    <x v="198"/>
    <x v="2"/>
    <x v="3"/>
    <n v="1916.08"/>
    <n v="19"/>
    <x v="1"/>
    <n v="1427.42"/>
    <n v="1763.69"/>
    <x v="1"/>
    <n v="0.03"/>
    <s v="Cash"/>
    <x v="1"/>
    <s v="South-David"/>
    <n v="33510.11"/>
    <n v="27120.980000000003"/>
    <n v="6389.1299999999974"/>
  </r>
  <r>
    <n v="1069"/>
    <x v="8"/>
    <x v="2"/>
    <x v="1"/>
    <n v="6581.04"/>
    <n v="42"/>
    <x v="0"/>
    <n v="1434.2"/>
    <n v="1482.88"/>
    <x v="1"/>
    <n v="0.28000000000000003"/>
    <s v="Credit Card"/>
    <x v="1"/>
    <s v="West-David"/>
    <n v="62280.960000000006"/>
    <n v="60236.4"/>
    <n v="2044.5600000000049"/>
  </r>
  <r>
    <n v="1011"/>
    <x v="67"/>
    <x v="0"/>
    <x v="0"/>
    <n v="8186.12"/>
    <n v="13"/>
    <x v="1"/>
    <n v="1442.69"/>
    <n v="1882.57"/>
    <x v="0"/>
    <n v="0.28000000000000003"/>
    <s v="Cash"/>
    <x v="0"/>
    <s v="East-Bob"/>
    <n v="24473.41"/>
    <n v="18754.97"/>
    <n v="5718.4399999999987"/>
  </r>
  <r>
    <n v="1092"/>
    <x v="199"/>
    <x v="1"/>
    <x v="0"/>
    <n v="1632.8"/>
    <n v="47"/>
    <x v="3"/>
    <n v="1447.45"/>
    <n v="1703.02"/>
    <x v="0"/>
    <n v="0.12"/>
    <s v="Bank Transfer"/>
    <x v="1"/>
    <s v="East-Alice"/>
    <n v="80041.94"/>
    <n v="68030.150000000009"/>
    <n v="12011.789999999994"/>
  </r>
  <r>
    <n v="1071"/>
    <x v="200"/>
    <x v="2"/>
    <x v="0"/>
    <n v="4752.88"/>
    <n v="40"/>
    <x v="2"/>
    <n v="1447.72"/>
    <n v="1875.75"/>
    <x v="1"/>
    <n v="0.13"/>
    <s v="Cash"/>
    <x v="1"/>
    <s v="East-David"/>
    <n v="75030"/>
    <n v="57908.800000000003"/>
    <n v="17121.199999999997"/>
  </r>
  <r>
    <n v="1017"/>
    <x v="66"/>
    <x v="1"/>
    <x v="2"/>
    <n v="7400.52"/>
    <n v="43"/>
    <x v="3"/>
    <n v="1454.8"/>
    <n v="1674.97"/>
    <x v="1"/>
    <n v="0.03"/>
    <s v="Credit Card"/>
    <x v="0"/>
    <s v="North-Alice"/>
    <n v="72023.710000000006"/>
    <n v="62556.4"/>
    <n v="9467.3100000000049"/>
  </r>
  <r>
    <n v="1054"/>
    <x v="201"/>
    <x v="2"/>
    <x v="1"/>
    <n v="4291.0200000000004"/>
    <n v="27"/>
    <x v="1"/>
    <n v="1456.09"/>
    <n v="1510.4299999999901"/>
    <x v="0"/>
    <n v="0.17"/>
    <s v="Cash"/>
    <x v="1"/>
    <s v="West-David"/>
    <n v="40781.609999999731"/>
    <n v="39314.43"/>
    <n v="1467.1799999997311"/>
  </r>
  <r>
    <n v="1084"/>
    <x v="39"/>
    <x v="4"/>
    <x v="3"/>
    <n v="2813.31"/>
    <n v="36"/>
    <x v="3"/>
    <n v="1458.77"/>
    <n v="1485.75"/>
    <x v="1"/>
    <n v="0.25"/>
    <s v="Credit Card"/>
    <x v="0"/>
    <s v="South-Eve"/>
    <n v="53487"/>
    <n v="52515.72"/>
    <n v="971.27999999999884"/>
  </r>
  <r>
    <n v="1062"/>
    <x v="47"/>
    <x v="4"/>
    <x v="3"/>
    <n v="8681.0300000000007"/>
    <n v="9"/>
    <x v="1"/>
    <n v="1468.05"/>
    <n v="1838.21"/>
    <x v="1"/>
    <n v="0.15"/>
    <s v="Bank Transfer"/>
    <x v="1"/>
    <s v="South-Eve"/>
    <n v="16543.89"/>
    <n v="13212.449999999999"/>
    <n v="3331.4400000000005"/>
  </r>
  <r>
    <n v="1036"/>
    <x v="202"/>
    <x v="1"/>
    <x v="1"/>
    <n v="3111.57"/>
    <n v="17"/>
    <x v="3"/>
    <n v="1475"/>
    <n v="1840.77"/>
    <x v="0"/>
    <n v="0.1"/>
    <s v="Credit Card"/>
    <x v="0"/>
    <s v="West-Alice"/>
    <n v="31293.09"/>
    <n v="25075"/>
    <n v="6218.09"/>
  </r>
  <r>
    <n v="1007"/>
    <x v="195"/>
    <x v="1"/>
    <x v="2"/>
    <n v="249.6"/>
    <n v="9"/>
    <x v="0"/>
    <n v="1481.76"/>
    <n v="1668.95"/>
    <x v="0"/>
    <n v="0.12"/>
    <s v="Credit Card"/>
    <x v="1"/>
    <s v="North-Alice"/>
    <n v="15020.550000000001"/>
    <n v="13335.84"/>
    <n v="1684.7100000000009"/>
  </r>
  <r>
    <n v="1025"/>
    <x v="98"/>
    <x v="2"/>
    <x v="2"/>
    <n v="3422.54"/>
    <n v="44"/>
    <x v="2"/>
    <n v="1485.72"/>
    <n v="1717.97"/>
    <x v="1"/>
    <n v="0.02"/>
    <s v="Credit Card"/>
    <x v="1"/>
    <s v="North-David"/>
    <n v="75590.680000000008"/>
    <n v="65371.68"/>
    <n v="10219.000000000007"/>
  </r>
  <r>
    <n v="1093"/>
    <x v="203"/>
    <x v="0"/>
    <x v="1"/>
    <n v="3747.64"/>
    <n v="43"/>
    <x v="1"/>
    <n v="1486.76"/>
    <n v="1505.44"/>
    <x v="1"/>
    <n v="0.08"/>
    <s v="Cash"/>
    <x v="1"/>
    <s v="West-Bob"/>
    <n v="64733.920000000006"/>
    <n v="63930.68"/>
    <n v="803.24000000000524"/>
  </r>
  <r>
    <n v="1024"/>
    <x v="159"/>
    <x v="2"/>
    <x v="0"/>
    <n v="6274.12"/>
    <n v="13"/>
    <x v="0"/>
    <n v="1493.88"/>
    <n v="1781.09"/>
    <x v="1"/>
    <n v="0.04"/>
    <s v="Cash"/>
    <x v="1"/>
    <s v="East-David"/>
    <n v="23154.17"/>
    <n v="19420.440000000002"/>
    <n v="3733.7299999999959"/>
  </r>
  <r>
    <n v="1052"/>
    <x v="99"/>
    <x v="2"/>
    <x v="1"/>
    <n v="6757.36"/>
    <n v="41"/>
    <x v="1"/>
    <n v="1509.98"/>
    <n v="1792.83"/>
    <x v="1"/>
    <n v="0.04"/>
    <s v="Cash"/>
    <x v="1"/>
    <s v="West-David"/>
    <n v="73506.03"/>
    <n v="61909.18"/>
    <n v="11596.849999999999"/>
  </r>
  <r>
    <n v="1044"/>
    <x v="161"/>
    <x v="1"/>
    <x v="2"/>
    <n v="6144.41"/>
    <n v="47"/>
    <x v="1"/>
    <n v="1512.34"/>
    <n v="1830.76"/>
    <x v="1"/>
    <n v="0.12"/>
    <s v="Bank Transfer"/>
    <x v="0"/>
    <s v="North-Alice"/>
    <n v="86045.72"/>
    <n v="71079.98"/>
    <n v="14965.740000000005"/>
  </r>
  <r>
    <n v="1072"/>
    <x v="204"/>
    <x v="3"/>
    <x v="3"/>
    <n v="2490.86"/>
    <n v="12"/>
    <x v="2"/>
    <n v="1517.4"/>
    <n v="1545.02"/>
    <x v="1"/>
    <n v="0.03"/>
    <s v="Bank Transfer"/>
    <x v="1"/>
    <s v="South-Charlie"/>
    <n v="18540.239999999998"/>
    <n v="18208.800000000003"/>
    <n v="331.43999999999505"/>
  </r>
  <r>
    <n v="1099"/>
    <x v="205"/>
    <x v="2"/>
    <x v="3"/>
    <n v="7802.45"/>
    <n v="32"/>
    <x v="0"/>
    <n v="1517.86"/>
    <n v="1948.46"/>
    <x v="1"/>
    <n v="0.02"/>
    <s v="Credit Card"/>
    <x v="0"/>
    <s v="South-David"/>
    <n v="62350.720000000001"/>
    <n v="48571.519999999997"/>
    <n v="13779.200000000004"/>
  </r>
  <r>
    <n v="1062"/>
    <x v="206"/>
    <x v="0"/>
    <x v="0"/>
    <n v="6991.95"/>
    <n v="10"/>
    <x v="0"/>
    <n v="1524.88"/>
    <n v="1636.14"/>
    <x v="1"/>
    <n v="0.2"/>
    <s v="Bank Transfer"/>
    <x v="0"/>
    <s v="East-Bob"/>
    <n v="16361.400000000001"/>
    <n v="15248.800000000001"/>
    <n v="1112.6000000000004"/>
  </r>
  <r>
    <n v="1097"/>
    <x v="207"/>
    <x v="2"/>
    <x v="2"/>
    <n v="6759.76"/>
    <n v="45"/>
    <x v="0"/>
    <n v="1525.13"/>
    <n v="1868.32"/>
    <x v="0"/>
    <n v="0.24"/>
    <s v="Cash"/>
    <x v="1"/>
    <s v="North-David"/>
    <n v="84074.4"/>
    <n v="68630.850000000006"/>
    <n v="15443.549999999988"/>
  </r>
  <r>
    <n v="1099"/>
    <x v="58"/>
    <x v="2"/>
    <x v="0"/>
    <n v="7952.11"/>
    <n v="10"/>
    <x v="3"/>
    <n v="1531.2"/>
    <n v="1955.56"/>
    <x v="1"/>
    <n v="0"/>
    <s v="Credit Card"/>
    <x v="0"/>
    <s v="East-David"/>
    <n v="19555.599999999999"/>
    <n v="15312"/>
    <n v="4243.5999999999985"/>
  </r>
  <r>
    <n v="1023"/>
    <x v="26"/>
    <x v="4"/>
    <x v="2"/>
    <n v="2282.9899999999998"/>
    <n v="4"/>
    <x v="0"/>
    <n v="1532.8"/>
    <n v="1619.69"/>
    <x v="0"/>
    <n v="0.05"/>
    <s v="Bank Transfer"/>
    <x v="1"/>
    <s v="North-Eve"/>
    <n v="6478.76"/>
    <n v="6131.2"/>
    <n v="347.5600000000004"/>
  </r>
  <r>
    <n v="1013"/>
    <x v="208"/>
    <x v="2"/>
    <x v="0"/>
    <n v="5039.07"/>
    <n v="20"/>
    <x v="1"/>
    <n v="1533.36"/>
    <n v="1649.73999999999"/>
    <x v="0"/>
    <n v="0.1"/>
    <s v="Bank Transfer"/>
    <x v="0"/>
    <s v="East-David"/>
    <n v="32994.799999999799"/>
    <n v="30667.199999999997"/>
    <n v="2327.5999999998021"/>
  </r>
  <r>
    <n v="1091"/>
    <x v="209"/>
    <x v="4"/>
    <x v="0"/>
    <n v="3917.42"/>
    <n v="15"/>
    <x v="1"/>
    <n v="1534.7"/>
    <n v="1972.62"/>
    <x v="0"/>
    <n v="0.06"/>
    <s v="Credit Card"/>
    <x v="1"/>
    <s v="East-Eve"/>
    <n v="29589.3"/>
    <n v="23020.5"/>
    <n v="6568.7999999999993"/>
  </r>
  <r>
    <n v="1008"/>
    <x v="210"/>
    <x v="4"/>
    <x v="1"/>
    <n v="1558.3"/>
    <n v="24"/>
    <x v="1"/>
    <n v="1542.24"/>
    <n v="1739.45"/>
    <x v="0"/>
    <n v="0.21"/>
    <s v="Bank Transfer"/>
    <x v="1"/>
    <s v="West-Eve"/>
    <n v="41746.800000000003"/>
    <n v="37013.760000000002"/>
    <n v="4733.0400000000009"/>
  </r>
  <r>
    <n v="1038"/>
    <x v="211"/>
    <x v="4"/>
    <x v="1"/>
    <n v="2792.27"/>
    <n v="24"/>
    <x v="0"/>
    <n v="1543.91"/>
    <n v="1862.88"/>
    <x v="1"/>
    <n v="0.09"/>
    <s v="Bank Transfer"/>
    <x v="0"/>
    <s v="West-Eve"/>
    <n v="44709.120000000003"/>
    <n v="37053.840000000004"/>
    <n v="7655.2799999999988"/>
  </r>
  <r>
    <n v="1024"/>
    <x v="66"/>
    <x v="4"/>
    <x v="3"/>
    <n v="4384.3900000000003"/>
    <n v="30"/>
    <x v="2"/>
    <n v="1543.96"/>
    <n v="1558.87"/>
    <x v="0"/>
    <n v="0.28000000000000003"/>
    <s v="Credit Card"/>
    <x v="0"/>
    <s v="South-Eve"/>
    <n v="46766.1"/>
    <n v="46318.8"/>
    <n v="447.29999999999563"/>
  </r>
  <r>
    <n v="1017"/>
    <x v="212"/>
    <x v="1"/>
    <x v="0"/>
    <n v="780.27"/>
    <n v="33"/>
    <x v="2"/>
    <n v="1551.25"/>
    <n v="1994.01"/>
    <x v="0"/>
    <n v="0.08"/>
    <s v="Cash"/>
    <x v="0"/>
    <s v="East-Alice"/>
    <n v="65802.33"/>
    <n v="51191.25"/>
    <n v="14611.080000000002"/>
  </r>
  <r>
    <n v="1056"/>
    <x v="129"/>
    <x v="4"/>
    <x v="2"/>
    <n v="6629.16"/>
    <n v="37"/>
    <x v="1"/>
    <n v="1555.41"/>
    <n v="1609.94"/>
    <x v="0"/>
    <n v="0.16"/>
    <s v="Credit Card"/>
    <x v="0"/>
    <s v="North-Eve"/>
    <n v="59567.78"/>
    <n v="57550.170000000006"/>
    <n v="2017.6099999999933"/>
  </r>
  <r>
    <n v="1023"/>
    <x v="25"/>
    <x v="3"/>
    <x v="2"/>
    <n v="8046.14"/>
    <n v="8"/>
    <x v="3"/>
    <n v="1563.78"/>
    <n v="1829.1599999999901"/>
    <x v="0"/>
    <n v="0.15"/>
    <s v="Cash"/>
    <x v="0"/>
    <s v="North-Charlie"/>
    <n v="14633.279999999921"/>
    <n v="12510.24"/>
    <n v="2123.0399999999208"/>
  </r>
  <r>
    <n v="1056"/>
    <x v="213"/>
    <x v="2"/>
    <x v="0"/>
    <n v="7611.88"/>
    <n v="28"/>
    <x v="0"/>
    <n v="1566.03"/>
    <n v="1576.34"/>
    <x v="0"/>
    <n v="0.2"/>
    <s v="Bank Transfer"/>
    <x v="0"/>
    <s v="East-David"/>
    <n v="44137.52"/>
    <n v="43848.84"/>
    <n v="288.68000000000029"/>
  </r>
  <r>
    <n v="1086"/>
    <x v="196"/>
    <x v="0"/>
    <x v="3"/>
    <n v="6530.14"/>
    <n v="8"/>
    <x v="3"/>
    <n v="1569.31"/>
    <n v="1798.02"/>
    <x v="1"/>
    <n v="7.0000000000000007E-2"/>
    <s v="Credit Card"/>
    <x v="0"/>
    <s v="South-Bob"/>
    <n v="14384.16"/>
    <n v="12554.48"/>
    <n v="1829.6800000000003"/>
  </r>
  <r>
    <n v="1062"/>
    <x v="99"/>
    <x v="0"/>
    <x v="0"/>
    <n v="544.62"/>
    <n v="4"/>
    <x v="1"/>
    <n v="1581.59"/>
    <n v="2034.1499999999901"/>
    <x v="0"/>
    <n v="0.21"/>
    <s v="Cash"/>
    <x v="0"/>
    <s v="East-Bob"/>
    <n v="8136.5999999999603"/>
    <n v="6326.36"/>
    <n v="1810.2399999999607"/>
  </r>
  <r>
    <n v="1053"/>
    <x v="214"/>
    <x v="4"/>
    <x v="1"/>
    <n v="3939.48"/>
    <n v="11"/>
    <x v="3"/>
    <n v="1582.86"/>
    <n v="1942.55"/>
    <x v="1"/>
    <n v="0.17"/>
    <s v="Credit Card"/>
    <x v="1"/>
    <s v="West-Eve"/>
    <n v="21368.05"/>
    <n v="17411.46"/>
    <n v="3956.59"/>
  </r>
  <r>
    <n v="1024"/>
    <x v="204"/>
    <x v="2"/>
    <x v="3"/>
    <n v="1221.7"/>
    <n v="42"/>
    <x v="1"/>
    <n v="1586.02"/>
    <n v="2047.13"/>
    <x v="1"/>
    <n v="0.25"/>
    <s v="Cash"/>
    <x v="1"/>
    <s v="South-David"/>
    <n v="85979.46"/>
    <n v="66612.84"/>
    <n v="19366.62000000001"/>
  </r>
  <r>
    <n v="1025"/>
    <x v="165"/>
    <x v="2"/>
    <x v="3"/>
    <n v="4140.7"/>
    <n v="45"/>
    <x v="0"/>
    <n v="1588.04"/>
    <n v="1703.6399999999901"/>
    <x v="1"/>
    <n v="0.2"/>
    <s v="Bank Transfer"/>
    <x v="1"/>
    <s v="South-David"/>
    <n v="76663.799999999552"/>
    <n v="71461.8"/>
    <n v="5201.9999999995489"/>
  </r>
  <r>
    <n v="1047"/>
    <x v="57"/>
    <x v="4"/>
    <x v="1"/>
    <n v="6413.11"/>
    <n v="17"/>
    <x v="3"/>
    <n v="1591.34"/>
    <n v="2043.82"/>
    <x v="1"/>
    <n v="0.28999999999999998"/>
    <s v="Cash"/>
    <x v="1"/>
    <s v="West-Eve"/>
    <n v="34744.94"/>
    <n v="27052.78"/>
    <n v="7692.1600000000035"/>
  </r>
  <r>
    <n v="1086"/>
    <x v="43"/>
    <x v="0"/>
    <x v="0"/>
    <n v="2495.5700000000002"/>
    <n v="3"/>
    <x v="1"/>
    <n v="1595.35"/>
    <n v="1625.70999999999"/>
    <x v="1"/>
    <n v="0.27"/>
    <s v="Cash"/>
    <x v="0"/>
    <s v="East-Bob"/>
    <n v="4877.1299999999701"/>
    <n v="4786.0499999999993"/>
    <n v="91.079999999970823"/>
  </r>
  <r>
    <n v="1041"/>
    <x v="204"/>
    <x v="0"/>
    <x v="3"/>
    <n v="854.77"/>
    <n v="31"/>
    <x v="2"/>
    <n v="1604.52"/>
    <n v="1756.34"/>
    <x v="0"/>
    <n v="0.17"/>
    <s v="Cash"/>
    <x v="1"/>
    <s v="South-Bob"/>
    <n v="54446.54"/>
    <n v="49740.12"/>
    <n v="4706.4199999999983"/>
  </r>
  <r>
    <n v="1056"/>
    <x v="200"/>
    <x v="0"/>
    <x v="0"/>
    <n v="7979.67"/>
    <n v="4"/>
    <x v="2"/>
    <n v="1612.82"/>
    <n v="1647.25"/>
    <x v="0"/>
    <n v="0.04"/>
    <s v="Credit Card"/>
    <x v="1"/>
    <s v="East-Bob"/>
    <n v="6589"/>
    <n v="6451.28"/>
    <n v="137.72000000000025"/>
  </r>
  <r>
    <n v="1075"/>
    <x v="215"/>
    <x v="2"/>
    <x v="0"/>
    <n v="8989.4"/>
    <n v="14"/>
    <x v="3"/>
    <n v="1612.93"/>
    <n v="1964.15"/>
    <x v="0"/>
    <n v="0.24"/>
    <s v="Bank Transfer"/>
    <x v="1"/>
    <s v="East-David"/>
    <n v="27498.100000000002"/>
    <n v="22581.02"/>
    <n v="4917.0800000000017"/>
  </r>
  <r>
    <n v="1019"/>
    <x v="128"/>
    <x v="2"/>
    <x v="3"/>
    <n v="7320.51"/>
    <n v="14"/>
    <x v="0"/>
    <n v="1614.19"/>
    <n v="1882.79"/>
    <x v="1"/>
    <n v="0.25"/>
    <s v="Credit Card"/>
    <x v="1"/>
    <s v="South-David"/>
    <n v="26359.059999999998"/>
    <n v="22598.66"/>
    <n v="3760.3999999999978"/>
  </r>
  <r>
    <n v="1027"/>
    <x v="202"/>
    <x v="4"/>
    <x v="2"/>
    <n v="8666.43"/>
    <n v="15"/>
    <x v="0"/>
    <n v="1615.26"/>
    <n v="1710.95"/>
    <x v="1"/>
    <n v="0.23"/>
    <s v="Credit Card"/>
    <x v="1"/>
    <s v="North-Eve"/>
    <n v="25664.25"/>
    <n v="24228.9"/>
    <n v="1435.3499999999985"/>
  </r>
  <r>
    <n v="1033"/>
    <x v="10"/>
    <x v="2"/>
    <x v="0"/>
    <n v="7370.99"/>
    <n v="6"/>
    <x v="0"/>
    <n v="1621.07"/>
    <n v="1687.5"/>
    <x v="0"/>
    <n v="0.12"/>
    <s v="Credit Card"/>
    <x v="0"/>
    <s v="East-David"/>
    <n v="10125"/>
    <n v="9726.42"/>
    <n v="398.57999999999993"/>
  </r>
  <r>
    <n v="1006"/>
    <x v="140"/>
    <x v="2"/>
    <x v="1"/>
    <n v="776.7"/>
    <n v="45"/>
    <x v="3"/>
    <n v="1623.63"/>
    <n v="1814.63"/>
    <x v="1"/>
    <n v="0.28999999999999998"/>
    <s v="Bank Transfer"/>
    <x v="1"/>
    <s v="West-David"/>
    <n v="81658.350000000006"/>
    <n v="73063.350000000006"/>
    <n v="8595"/>
  </r>
  <r>
    <n v="1064"/>
    <x v="55"/>
    <x v="0"/>
    <x v="2"/>
    <n v="717.7"/>
    <n v="13"/>
    <x v="0"/>
    <n v="1645.51"/>
    <n v="2045.53"/>
    <x v="0"/>
    <n v="0.28000000000000003"/>
    <s v="Cash"/>
    <x v="1"/>
    <s v="North-Bob"/>
    <n v="26591.89"/>
    <n v="21391.63"/>
    <n v="5200.2599999999984"/>
  </r>
  <r>
    <n v="1013"/>
    <x v="7"/>
    <x v="2"/>
    <x v="0"/>
    <n v="6095.82"/>
    <n v="46"/>
    <x v="1"/>
    <n v="1648.8"/>
    <n v="1670.36"/>
    <x v="0"/>
    <n v="0.09"/>
    <s v="Credit Card"/>
    <x v="1"/>
    <s v="East-David"/>
    <n v="76836.56"/>
    <n v="75844.800000000003"/>
    <n v="991.75999999999476"/>
  </r>
  <r>
    <n v="1048"/>
    <x v="172"/>
    <x v="4"/>
    <x v="3"/>
    <n v="4961.8500000000004"/>
    <n v="7"/>
    <x v="1"/>
    <n v="1655.43"/>
    <n v="2001.08"/>
    <x v="1"/>
    <n v="0.19"/>
    <s v="Bank Transfer"/>
    <x v="0"/>
    <s v="South-Eve"/>
    <n v="14007.56"/>
    <n v="11588.01"/>
    <n v="2419.5499999999993"/>
  </r>
  <r>
    <n v="1040"/>
    <x v="194"/>
    <x v="1"/>
    <x v="3"/>
    <n v="4284.03"/>
    <n v="47"/>
    <x v="0"/>
    <n v="1656.82"/>
    <n v="1750.3799999999901"/>
    <x v="1"/>
    <n v="0.21"/>
    <s v="Credit Card"/>
    <x v="0"/>
    <s v="South-Alice"/>
    <n v="82267.859999999535"/>
    <n v="77870.539999999994"/>
    <n v="4397.3199999995413"/>
  </r>
  <r>
    <n v="1072"/>
    <x v="216"/>
    <x v="3"/>
    <x v="2"/>
    <n v="3635.5"/>
    <n v="23"/>
    <x v="3"/>
    <n v="1662.83"/>
    <n v="2074.25"/>
    <x v="1"/>
    <n v="0.12"/>
    <s v="Bank Transfer"/>
    <x v="0"/>
    <s v="North-Charlie"/>
    <n v="47707.75"/>
    <n v="38245.089999999997"/>
    <n v="9462.6600000000035"/>
  </r>
  <r>
    <n v="1075"/>
    <x v="94"/>
    <x v="0"/>
    <x v="0"/>
    <n v="8127.7"/>
    <n v="37"/>
    <x v="2"/>
    <n v="1675.51"/>
    <n v="1906.6399999999901"/>
    <x v="1"/>
    <n v="0.13"/>
    <s v="Bank Transfer"/>
    <x v="0"/>
    <s v="East-Bob"/>
    <n v="70545.679999999629"/>
    <n v="61993.87"/>
    <n v="8551.8099999996266"/>
  </r>
  <r>
    <n v="1051"/>
    <x v="105"/>
    <x v="1"/>
    <x v="2"/>
    <n v="4703.59"/>
    <n v="23"/>
    <x v="1"/>
    <n v="1676.42"/>
    <n v="2082.52"/>
    <x v="1"/>
    <n v="0.15"/>
    <s v="Bank Transfer"/>
    <x v="1"/>
    <s v="North-Alice"/>
    <n v="47897.96"/>
    <n v="38557.660000000003"/>
    <n v="9340.2999999999956"/>
  </r>
  <r>
    <n v="1062"/>
    <x v="155"/>
    <x v="4"/>
    <x v="2"/>
    <n v="903.38"/>
    <n v="48"/>
    <x v="1"/>
    <n v="1679.69"/>
    <n v="1939.04"/>
    <x v="1"/>
    <n v="0.09"/>
    <s v="Credit Card"/>
    <x v="0"/>
    <s v="North-Eve"/>
    <n v="93073.919999999998"/>
    <n v="80625.119999999995"/>
    <n v="12448.800000000003"/>
  </r>
  <r>
    <n v="1006"/>
    <x v="13"/>
    <x v="0"/>
    <x v="0"/>
    <n v="1044.45"/>
    <n v="21"/>
    <x v="1"/>
    <n v="1701.62"/>
    <n v="2193.2199999999998"/>
    <x v="1"/>
    <n v="0.22"/>
    <s v="Bank Transfer"/>
    <x v="1"/>
    <s v="East-Bob"/>
    <n v="46057.619999999995"/>
    <n v="35734.019999999997"/>
    <n v="10323.599999999999"/>
  </r>
  <r>
    <n v="1053"/>
    <x v="88"/>
    <x v="0"/>
    <x v="0"/>
    <n v="7080.88"/>
    <n v="1"/>
    <x v="0"/>
    <n v="1702.82"/>
    <n v="1862.61"/>
    <x v="0"/>
    <n v="0.24"/>
    <s v="Cash"/>
    <x v="1"/>
    <s v="East-Bob"/>
    <n v="1862.61"/>
    <n v="1702.82"/>
    <n v="159.78999999999996"/>
  </r>
  <r>
    <n v="1050"/>
    <x v="217"/>
    <x v="1"/>
    <x v="2"/>
    <n v="4638.47"/>
    <n v="28"/>
    <x v="2"/>
    <n v="1711.63"/>
    <n v="1951.24"/>
    <x v="1"/>
    <n v="0.22"/>
    <s v="Cash"/>
    <x v="0"/>
    <s v="North-Alice"/>
    <n v="54634.720000000001"/>
    <n v="47925.64"/>
    <n v="6709.0800000000017"/>
  </r>
  <r>
    <n v="1008"/>
    <x v="218"/>
    <x v="2"/>
    <x v="0"/>
    <n v="5197.84"/>
    <n v="37"/>
    <x v="3"/>
    <n v="1712.43"/>
    <n v="1980.06"/>
    <x v="1"/>
    <n v="0.26"/>
    <s v="Cash"/>
    <x v="0"/>
    <s v="East-David"/>
    <n v="73262.22"/>
    <n v="63359.91"/>
    <n v="9902.3099999999977"/>
  </r>
  <r>
    <n v="1082"/>
    <x v="219"/>
    <x v="3"/>
    <x v="0"/>
    <n v="3320.42"/>
    <n v="15"/>
    <x v="0"/>
    <n v="1719.47"/>
    <n v="1832.6"/>
    <x v="0"/>
    <n v="0.12"/>
    <s v="Credit Card"/>
    <x v="0"/>
    <s v="East-Charlie"/>
    <n v="27489"/>
    <n v="25792.05"/>
    <n v="1696.9500000000007"/>
  </r>
  <r>
    <n v="1074"/>
    <x v="153"/>
    <x v="2"/>
    <x v="1"/>
    <n v="289.38"/>
    <n v="29"/>
    <x v="3"/>
    <n v="1723.01"/>
    <n v="2197.42"/>
    <x v="1"/>
    <n v="7.0000000000000007E-2"/>
    <s v="Bank Transfer"/>
    <x v="1"/>
    <s v="West-David"/>
    <n v="63725.18"/>
    <n v="49967.29"/>
    <n v="13757.89"/>
  </r>
  <r>
    <n v="1096"/>
    <x v="220"/>
    <x v="1"/>
    <x v="0"/>
    <n v="9289"/>
    <n v="31"/>
    <x v="1"/>
    <n v="1724.24"/>
    <n v="2036.2"/>
    <x v="1"/>
    <n v="0.17"/>
    <s v="Cash"/>
    <x v="0"/>
    <s v="East-Alice"/>
    <n v="63122.200000000004"/>
    <n v="53451.44"/>
    <n v="9670.760000000002"/>
  </r>
  <r>
    <n v="1002"/>
    <x v="196"/>
    <x v="0"/>
    <x v="0"/>
    <n v="2716.34"/>
    <n v="17"/>
    <x v="3"/>
    <n v="1727.12"/>
    <n v="1865.83"/>
    <x v="1"/>
    <n v="0.21"/>
    <s v="Cash"/>
    <x v="0"/>
    <s v="East-Bob"/>
    <n v="31719.11"/>
    <n v="29361.039999999997"/>
    <n v="2358.0700000000033"/>
  </r>
  <r>
    <n v="1076"/>
    <x v="151"/>
    <x v="3"/>
    <x v="3"/>
    <n v="8674.35"/>
    <n v="23"/>
    <x v="2"/>
    <n v="1727.78"/>
    <n v="1984.34"/>
    <x v="0"/>
    <n v="0.24"/>
    <s v="Bank Transfer"/>
    <x v="0"/>
    <s v="South-Charlie"/>
    <n v="45639.82"/>
    <n v="39738.94"/>
    <n v="5900.8799999999974"/>
  </r>
  <r>
    <n v="1003"/>
    <x v="128"/>
    <x v="4"/>
    <x v="1"/>
    <n v="5738.44"/>
    <n v="15"/>
    <x v="1"/>
    <n v="1729.14"/>
    <n v="1870.88"/>
    <x v="0"/>
    <n v="0.23"/>
    <s v="Cash"/>
    <x v="0"/>
    <s v="West-Eve"/>
    <n v="28063.200000000001"/>
    <n v="25937.100000000002"/>
    <n v="2126.0999999999985"/>
  </r>
  <r>
    <n v="1026"/>
    <x v="85"/>
    <x v="2"/>
    <x v="0"/>
    <n v="2044.55"/>
    <n v="45"/>
    <x v="2"/>
    <n v="1741.66"/>
    <n v="2169.86"/>
    <x v="0"/>
    <n v="0.14000000000000001"/>
    <s v="Credit Card"/>
    <x v="0"/>
    <s v="East-David"/>
    <n v="97643.700000000012"/>
    <n v="78374.7"/>
    <n v="19269.000000000015"/>
  </r>
  <r>
    <n v="1092"/>
    <x v="221"/>
    <x v="2"/>
    <x v="0"/>
    <n v="6250.8"/>
    <n v="29"/>
    <x v="0"/>
    <n v="1742.24"/>
    <n v="2070.52"/>
    <x v="1"/>
    <n v="0.12"/>
    <s v="Cash"/>
    <x v="0"/>
    <s v="East-David"/>
    <n v="60045.08"/>
    <n v="50524.959999999999"/>
    <n v="9520.1200000000026"/>
  </r>
  <r>
    <n v="1060"/>
    <x v="46"/>
    <x v="0"/>
    <x v="1"/>
    <n v="6395.95"/>
    <n v="46"/>
    <x v="0"/>
    <n v="1747.05"/>
    <n v="1830.27"/>
    <x v="1"/>
    <n v="0.15"/>
    <s v="Bank Transfer"/>
    <x v="1"/>
    <s v="West-Bob"/>
    <n v="84192.42"/>
    <n v="80364.3"/>
    <n v="3828.1199999999953"/>
  </r>
  <r>
    <n v="1027"/>
    <x v="222"/>
    <x v="1"/>
    <x v="1"/>
    <n v="7179.49"/>
    <n v="20"/>
    <x v="1"/>
    <n v="1748.11"/>
    <n v="2220.9"/>
    <x v="1"/>
    <n v="0.23"/>
    <s v="Credit Card"/>
    <x v="1"/>
    <s v="West-Alice"/>
    <n v="44418"/>
    <n v="34962.199999999997"/>
    <n v="9455.8000000000029"/>
  </r>
  <r>
    <n v="1075"/>
    <x v="160"/>
    <x v="4"/>
    <x v="2"/>
    <n v="9736.49"/>
    <n v="26"/>
    <x v="3"/>
    <n v="1749.34"/>
    <n v="1935.25"/>
    <x v="1"/>
    <n v="0.14000000000000001"/>
    <s v="Credit Card"/>
    <x v="0"/>
    <s v="North-Eve"/>
    <n v="50316.5"/>
    <n v="45482.84"/>
    <n v="4833.6600000000035"/>
  </r>
  <r>
    <n v="1067"/>
    <x v="139"/>
    <x v="0"/>
    <x v="2"/>
    <n v="4716.3599999999997"/>
    <n v="37"/>
    <x v="0"/>
    <n v="1754.32"/>
    <n v="1856.3999999999901"/>
    <x v="1"/>
    <n v="0.21"/>
    <s v="Bank Transfer"/>
    <x v="1"/>
    <s v="North-Bob"/>
    <n v="68686.799999999639"/>
    <n v="64909.84"/>
    <n v="3776.9599999996426"/>
  </r>
  <r>
    <n v="1076"/>
    <x v="39"/>
    <x v="0"/>
    <x v="2"/>
    <n v="611.52"/>
    <n v="26"/>
    <x v="1"/>
    <n v="1762"/>
    <n v="2002.95"/>
    <x v="0"/>
    <n v="0.28999999999999998"/>
    <s v="Credit Card"/>
    <x v="1"/>
    <s v="North-Bob"/>
    <n v="52076.700000000004"/>
    <n v="45812"/>
    <n v="6264.7000000000044"/>
  </r>
  <r>
    <n v="1080"/>
    <x v="223"/>
    <x v="3"/>
    <x v="0"/>
    <n v="5138.0200000000004"/>
    <n v="44"/>
    <x v="1"/>
    <n v="1763.67"/>
    <n v="1983.82"/>
    <x v="1"/>
    <n v="0.24"/>
    <s v="Credit Card"/>
    <x v="0"/>
    <s v="East-Charlie"/>
    <n v="87288.08"/>
    <n v="77601.48000000001"/>
    <n v="9686.5999999999913"/>
  </r>
  <r>
    <n v="1069"/>
    <x v="18"/>
    <x v="1"/>
    <x v="0"/>
    <n v="2574.5700000000002"/>
    <n v="6"/>
    <x v="2"/>
    <n v="1768.6"/>
    <n v="2152.1999999999998"/>
    <x v="1"/>
    <n v="0.25"/>
    <s v="Bank Transfer"/>
    <x v="1"/>
    <s v="East-Alice"/>
    <n v="12913.199999999999"/>
    <n v="10611.599999999999"/>
    <n v="2301.6000000000004"/>
  </r>
  <r>
    <n v="1017"/>
    <x v="224"/>
    <x v="2"/>
    <x v="2"/>
    <n v="5705.19"/>
    <n v="23"/>
    <x v="1"/>
    <n v="1771.52"/>
    <n v="2147.8000000000002"/>
    <x v="1"/>
    <n v="7.0000000000000007E-2"/>
    <s v="Bank Transfer"/>
    <x v="0"/>
    <s v="North-David"/>
    <n v="49399.4"/>
    <n v="40744.959999999999"/>
    <n v="8654.4400000000023"/>
  </r>
  <r>
    <n v="1059"/>
    <x v="225"/>
    <x v="2"/>
    <x v="3"/>
    <n v="8466.7000000000007"/>
    <n v="17"/>
    <x v="0"/>
    <n v="1780.14"/>
    <n v="2185.42"/>
    <x v="0"/>
    <n v="0.15"/>
    <s v="Credit Card"/>
    <x v="1"/>
    <s v="South-David"/>
    <n v="37152.14"/>
    <n v="30262.38"/>
    <n v="6889.7599999999984"/>
  </r>
  <r>
    <n v="1020"/>
    <x v="127"/>
    <x v="4"/>
    <x v="1"/>
    <n v="9335.9599999999991"/>
    <n v="19"/>
    <x v="2"/>
    <n v="1783.48"/>
    <n v="1931.56"/>
    <x v="0"/>
    <n v="0.27"/>
    <s v="Bank Transfer"/>
    <x v="1"/>
    <s v="West-Eve"/>
    <n v="36699.64"/>
    <n v="33886.120000000003"/>
    <n v="2813.5199999999968"/>
  </r>
  <r>
    <n v="1088"/>
    <x v="126"/>
    <x v="2"/>
    <x v="3"/>
    <n v="6772.54"/>
    <n v="8"/>
    <x v="2"/>
    <n v="1786.35"/>
    <n v="1935.29"/>
    <x v="1"/>
    <n v="0.04"/>
    <s v="Cash"/>
    <x v="0"/>
    <s v="South-David"/>
    <n v="15482.32"/>
    <n v="14290.8"/>
    <n v="1191.5200000000004"/>
  </r>
  <r>
    <n v="1001"/>
    <x v="226"/>
    <x v="0"/>
    <x v="2"/>
    <n v="8247.5400000000009"/>
    <n v="4"/>
    <x v="2"/>
    <n v="1791.83"/>
    <n v="1871.22"/>
    <x v="0"/>
    <n v="0.12"/>
    <s v="Bank Transfer"/>
    <x v="0"/>
    <s v="North-Bob"/>
    <n v="7484.88"/>
    <n v="7167.32"/>
    <n v="317.5600000000004"/>
  </r>
  <r>
    <n v="1003"/>
    <x v="227"/>
    <x v="3"/>
    <x v="2"/>
    <n v="6395.81"/>
    <n v="3"/>
    <x v="3"/>
    <n v="1792.05"/>
    <n v="2091.23"/>
    <x v="0"/>
    <n v="0.09"/>
    <s v="Cash"/>
    <x v="1"/>
    <s v="North-Charlie"/>
    <n v="6273.6900000000005"/>
    <n v="5376.15"/>
    <n v="897.54000000000087"/>
  </r>
  <r>
    <n v="1044"/>
    <x v="53"/>
    <x v="3"/>
    <x v="2"/>
    <n v="1996.77"/>
    <n v="11"/>
    <x v="0"/>
    <n v="1812.66"/>
    <n v="2196.3000000000002"/>
    <x v="1"/>
    <n v="0.08"/>
    <s v="Cash"/>
    <x v="0"/>
    <s v="North-Charlie"/>
    <n v="24159.300000000003"/>
    <n v="19939.260000000002"/>
    <n v="4220.0400000000009"/>
  </r>
  <r>
    <n v="1100"/>
    <x v="154"/>
    <x v="3"/>
    <x v="2"/>
    <n v="797.87"/>
    <n v="19"/>
    <x v="1"/>
    <n v="1820.89"/>
    <n v="2257.92"/>
    <x v="1"/>
    <n v="0.12"/>
    <s v="Cash"/>
    <x v="1"/>
    <s v="North-Charlie"/>
    <n v="42900.480000000003"/>
    <n v="34596.910000000003"/>
    <n v="8303.57"/>
  </r>
  <r>
    <n v="1057"/>
    <x v="140"/>
    <x v="3"/>
    <x v="1"/>
    <n v="7315.73"/>
    <n v="25"/>
    <x v="2"/>
    <n v="1821.91"/>
    <n v="2027.74"/>
    <x v="1"/>
    <n v="0.02"/>
    <s v="Bank Transfer"/>
    <x v="1"/>
    <s v="West-Charlie"/>
    <n v="50693.5"/>
    <n v="45547.75"/>
    <n v="5145.75"/>
  </r>
  <r>
    <n v="1046"/>
    <x v="17"/>
    <x v="3"/>
    <x v="1"/>
    <n v="4695.96"/>
    <n v="41"/>
    <x v="0"/>
    <n v="1825.37"/>
    <n v="2073.88"/>
    <x v="0"/>
    <n v="0.27"/>
    <s v="Cash"/>
    <x v="1"/>
    <s v="West-Charlie"/>
    <n v="85029.08"/>
    <n v="74840.17"/>
    <n v="10188.910000000003"/>
  </r>
  <r>
    <n v="1022"/>
    <x v="228"/>
    <x v="2"/>
    <x v="2"/>
    <n v="4557.5200000000004"/>
    <n v="10"/>
    <x v="3"/>
    <n v="1830.61"/>
    <n v="2044.04"/>
    <x v="1"/>
    <n v="0.11"/>
    <s v="Cash"/>
    <x v="0"/>
    <s v="North-David"/>
    <n v="20440.400000000001"/>
    <n v="18306.099999999999"/>
    <n v="2134.3000000000029"/>
  </r>
  <r>
    <n v="1078"/>
    <x v="229"/>
    <x v="2"/>
    <x v="0"/>
    <n v="9631.41"/>
    <n v="49"/>
    <x v="3"/>
    <n v="1833.95"/>
    <n v="2147.14"/>
    <x v="0"/>
    <n v="0.18"/>
    <s v="Credit Card"/>
    <x v="1"/>
    <s v="East-David"/>
    <n v="105209.86"/>
    <n v="89863.55"/>
    <n v="15346.309999999998"/>
  </r>
  <r>
    <n v="1005"/>
    <x v="88"/>
    <x v="0"/>
    <x v="1"/>
    <n v="7442.25"/>
    <n v="14"/>
    <x v="0"/>
    <n v="1861.2"/>
    <n v="2075.35"/>
    <x v="0"/>
    <n v="0.1"/>
    <s v="Credit Card"/>
    <x v="1"/>
    <s v="West-Bob"/>
    <n v="29054.899999999998"/>
    <n v="26056.799999999999"/>
    <n v="2998.0999999999985"/>
  </r>
  <r>
    <n v="1057"/>
    <x v="43"/>
    <x v="0"/>
    <x v="3"/>
    <n v="9653.65"/>
    <n v="12"/>
    <x v="1"/>
    <n v="1878.3"/>
    <n v="2087.4499999999998"/>
    <x v="1"/>
    <n v="0.05"/>
    <s v="Bank Transfer"/>
    <x v="1"/>
    <s v="South-Bob"/>
    <n v="25049.399999999998"/>
    <n v="22539.599999999999"/>
    <n v="2509.7999999999993"/>
  </r>
  <r>
    <n v="1097"/>
    <x v="230"/>
    <x v="2"/>
    <x v="0"/>
    <n v="6286.25"/>
    <n v="7"/>
    <x v="0"/>
    <n v="1896.35"/>
    <n v="2394.1999999999998"/>
    <x v="1"/>
    <n v="0.22"/>
    <s v="Bank Transfer"/>
    <x v="0"/>
    <s v="East-David"/>
    <n v="16759.399999999998"/>
    <n v="13274.449999999999"/>
    <n v="3484.9499999999989"/>
  </r>
  <r>
    <n v="1058"/>
    <x v="231"/>
    <x v="1"/>
    <x v="1"/>
    <n v="4643.51"/>
    <n v="44"/>
    <x v="0"/>
    <n v="1910.47"/>
    <n v="2217.8000000000002"/>
    <x v="1"/>
    <n v="0.22"/>
    <s v="Bank Transfer"/>
    <x v="0"/>
    <s v="West-Alice"/>
    <n v="97583.200000000012"/>
    <n v="84060.680000000008"/>
    <n v="13522.520000000004"/>
  </r>
  <r>
    <n v="1007"/>
    <x v="143"/>
    <x v="1"/>
    <x v="3"/>
    <n v="876.71"/>
    <n v="34"/>
    <x v="0"/>
    <n v="1921.07"/>
    <n v="2289.27"/>
    <x v="0"/>
    <n v="7.0000000000000007E-2"/>
    <s v="Bank Transfer"/>
    <x v="1"/>
    <s v="South-Alice"/>
    <n v="77835.179999999993"/>
    <n v="65316.38"/>
    <n v="12518.799999999996"/>
  </r>
  <r>
    <n v="1034"/>
    <x v="232"/>
    <x v="4"/>
    <x v="0"/>
    <n v="4892.3599999999997"/>
    <n v="19"/>
    <x v="0"/>
    <n v="1922.21"/>
    <n v="2180.83"/>
    <x v="0"/>
    <n v="0.17"/>
    <s v="Credit Card"/>
    <x v="1"/>
    <s v="East-Eve"/>
    <n v="41435.769999999997"/>
    <n v="36521.99"/>
    <n v="4913.7799999999988"/>
  </r>
  <r>
    <n v="1094"/>
    <x v="233"/>
    <x v="4"/>
    <x v="2"/>
    <n v="2548.67"/>
    <n v="25"/>
    <x v="1"/>
    <n v="1933.39"/>
    <n v="1982.92"/>
    <x v="1"/>
    <n v="0.17"/>
    <s v="Bank Transfer"/>
    <x v="0"/>
    <s v="North-Eve"/>
    <n v="49573"/>
    <n v="48334.75"/>
    <n v="1238.25"/>
  </r>
  <r>
    <n v="1052"/>
    <x v="234"/>
    <x v="1"/>
    <x v="3"/>
    <n v="8448.93"/>
    <n v="2"/>
    <x v="2"/>
    <n v="1935.41"/>
    <n v="2305.44"/>
    <x v="0"/>
    <n v="0.22"/>
    <s v="Credit Card"/>
    <x v="0"/>
    <s v="South-Alice"/>
    <n v="4610.88"/>
    <n v="3870.82"/>
    <n v="740.06"/>
  </r>
  <r>
    <n v="1037"/>
    <x v="235"/>
    <x v="0"/>
    <x v="3"/>
    <n v="2929.01"/>
    <n v="5"/>
    <x v="3"/>
    <n v="1941.56"/>
    <n v="2385.48"/>
    <x v="0"/>
    <n v="0.15"/>
    <s v="Credit Card"/>
    <x v="0"/>
    <s v="South-Bob"/>
    <n v="11927.4"/>
    <n v="9707.7999999999993"/>
    <n v="2219.6000000000004"/>
  </r>
  <r>
    <n v="1048"/>
    <x v="236"/>
    <x v="1"/>
    <x v="2"/>
    <n v="9527"/>
    <n v="6"/>
    <x v="3"/>
    <n v="1945.27"/>
    <n v="2309.4299999999998"/>
    <x v="1"/>
    <n v="0.26"/>
    <s v="Credit Card"/>
    <x v="0"/>
    <s v="North-Alice"/>
    <n v="13856.579999999998"/>
    <n v="11671.619999999999"/>
    <n v="2184.9599999999991"/>
  </r>
  <r>
    <n v="1097"/>
    <x v="121"/>
    <x v="2"/>
    <x v="3"/>
    <n v="471.95"/>
    <n v="35"/>
    <x v="2"/>
    <n v="1958.49"/>
    <n v="2254.84"/>
    <x v="1"/>
    <n v="0.16"/>
    <s v="Credit Card"/>
    <x v="0"/>
    <s v="South-David"/>
    <n v="78919.400000000009"/>
    <n v="68547.149999999994"/>
    <n v="10372.250000000015"/>
  </r>
  <r>
    <n v="1076"/>
    <x v="174"/>
    <x v="3"/>
    <x v="3"/>
    <n v="8464.23"/>
    <n v="16"/>
    <x v="0"/>
    <n v="1964.15"/>
    <n v="2211.17"/>
    <x v="0"/>
    <n v="0.21"/>
    <s v="Bank Transfer"/>
    <x v="0"/>
    <s v="South-Charlie"/>
    <n v="35378.720000000001"/>
    <n v="31426.400000000001"/>
    <n v="3952.3199999999997"/>
  </r>
  <r>
    <n v="1079"/>
    <x v="13"/>
    <x v="2"/>
    <x v="3"/>
    <n v="1982.07"/>
    <n v="34"/>
    <x v="3"/>
    <n v="1967.96"/>
    <n v="1993.4"/>
    <x v="0"/>
    <n v="0.15"/>
    <s v="Credit Card"/>
    <x v="0"/>
    <s v="South-David"/>
    <n v="67775.600000000006"/>
    <n v="66910.64"/>
    <n v="864.9600000000064"/>
  </r>
  <r>
    <n v="1028"/>
    <x v="214"/>
    <x v="0"/>
    <x v="0"/>
    <n v="4344.1499999999996"/>
    <n v="24"/>
    <x v="1"/>
    <n v="1969.09"/>
    <n v="2241.96"/>
    <x v="0"/>
    <n v="0.02"/>
    <s v="Credit Card"/>
    <x v="0"/>
    <s v="East-Bob"/>
    <n v="53807.040000000001"/>
    <n v="47258.159999999996"/>
    <n v="6548.8800000000047"/>
  </r>
  <r>
    <n v="1059"/>
    <x v="237"/>
    <x v="0"/>
    <x v="2"/>
    <n v="2338.64"/>
    <n v="13"/>
    <x v="1"/>
    <n v="1969.78"/>
    <n v="2437.6999999999998"/>
    <x v="1"/>
    <n v="0.19"/>
    <s v="Credit Card"/>
    <x v="1"/>
    <s v="North-Bob"/>
    <n v="31690.1"/>
    <n v="25607.14"/>
    <n v="6082.9599999999991"/>
  </r>
  <r>
    <n v="1099"/>
    <x v="238"/>
    <x v="3"/>
    <x v="0"/>
    <n v="4346.55"/>
    <n v="31"/>
    <x v="2"/>
    <n v="1974.4"/>
    <n v="2259.5"/>
    <x v="1"/>
    <n v="0.27"/>
    <s v="Cash"/>
    <x v="1"/>
    <s v="East-Charlie"/>
    <n v="70044.5"/>
    <n v="61206.400000000001"/>
    <n v="8838.0999999999985"/>
  </r>
  <r>
    <n v="1023"/>
    <x v="239"/>
    <x v="2"/>
    <x v="2"/>
    <n v="2676.34"/>
    <n v="36"/>
    <x v="0"/>
    <n v="1991.72"/>
    <n v="2329.37"/>
    <x v="1"/>
    <n v="0.28000000000000003"/>
    <s v="Credit Card"/>
    <x v="1"/>
    <s v="North-David"/>
    <n v="83857.319999999992"/>
    <n v="71701.919999999998"/>
    <n v="12155.399999999994"/>
  </r>
  <r>
    <n v="1096"/>
    <x v="240"/>
    <x v="0"/>
    <x v="0"/>
    <n v="2962.96"/>
    <n v="20"/>
    <x v="3"/>
    <n v="1994.9"/>
    <n v="2066.5"/>
    <x v="0"/>
    <n v="0.06"/>
    <s v="Bank Transfer"/>
    <x v="0"/>
    <s v="East-Bob"/>
    <n v="41330"/>
    <n v="39898"/>
    <n v="1432"/>
  </r>
  <r>
    <n v="1099"/>
    <x v="210"/>
    <x v="3"/>
    <x v="2"/>
    <n v="7614.15"/>
    <n v="14"/>
    <x v="2"/>
    <n v="1996.64"/>
    <n v="2341.4699999999998"/>
    <x v="0"/>
    <n v="0.22"/>
    <s v="Credit Card"/>
    <x v="0"/>
    <s v="North-Charlie"/>
    <n v="32780.579999999994"/>
    <n v="27952.960000000003"/>
    <n v="4827.6199999999917"/>
  </r>
  <r>
    <n v="1033"/>
    <x v="241"/>
    <x v="0"/>
    <x v="0"/>
    <n v="5509.66"/>
    <n v="4"/>
    <x v="2"/>
    <n v="2000.75"/>
    <n v="2426.9899999999998"/>
    <x v="0"/>
    <n v="0.17"/>
    <s v="Bank Transfer"/>
    <x v="0"/>
    <s v="East-Bob"/>
    <n v="9707.9599999999991"/>
    <n v="8003"/>
    <n v="1704.9599999999991"/>
  </r>
  <r>
    <n v="1025"/>
    <x v="108"/>
    <x v="1"/>
    <x v="0"/>
    <n v="8564.24"/>
    <n v="26"/>
    <x v="1"/>
    <n v="2007.32"/>
    <n v="2202.87"/>
    <x v="0"/>
    <n v="0.11"/>
    <s v="Cash"/>
    <x v="0"/>
    <s v="East-Alice"/>
    <n v="57274.619999999995"/>
    <n v="52190.32"/>
    <n v="5084.2999999999956"/>
  </r>
  <r>
    <n v="1043"/>
    <x v="242"/>
    <x v="0"/>
    <x v="3"/>
    <n v="1710.73"/>
    <n v="3"/>
    <x v="1"/>
    <n v="2009.1"/>
    <n v="2186.42"/>
    <x v="1"/>
    <n v="0.25"/>
    <s v="Bank Transfer"/>
    <x v="0"/>
    <s v="South-Bob"/>
    <n v="6559.26"/>
    <n v="6027.2999999999993"/>
    <n v="531.96000000000095"/>
  </r>
  <r>
    <n v="1034"/>
    <x v="243"/>
    <x v="3"/>
    <x v="1"/>
    <n v="2842.42"/>
    <n v="45"/>
    <x v="2"/>
    <n v="2013.12"/>
    <n v="2321.87"/>
    <x v="1"/>
    <n v="0.18"/>
    <s v="Bank Transfer"/>
    <x v="1"/>
    <s v="West-Charlie"/>
    <n v="104484.15"/>
    <n v="90590.399999999994"/>
    <n v="13893.75"/>
  </r>
  <r>
    <n v="1039"/>
    <x v="29"/>
    <x v="2"/>
    <x v="3"/>
    <n v="9091.4599999999991"/>
    <n v="20"/>
    <x v="2"/>
    <n v="2014.11"/>
    <n v="2056.35"/>
    <x v="0"/>
    <n v="0.21"/>
    <s v="Bank Transfer"/>
    <x v="1"/>
    <s v="South-David"/>
    <n v="41127"/>
    <n v="40282.199999999997"/>
    <n v="844.80000000000291"/>
  </r>
  <r>
    <n v="1024"/>
    <x v="244"/>
    <x v="4"/>
    <x v="3"/>
    <n v="5825.15"/>
    <n v="46"/>
    <x v="1"/>
    <n v="2016.49"/>
    <n v="2338.66"/>
    <x v="0"/>
    <n v="0.19"/>
    <s v="Bank Transfer"/>
    <x v="1"/>
    <s v="South-Eve"/>
    <n v="107578.35999999999"/>
    <n v="92758.54"/>
    <n v="14819.819999999992"/>
  </r>
  <r>
    <n v="1065"/>
    <x v="18"/>
    <x v="4"/>
    <x v="2"/>
    <n v="2365.87"/>
    <n v="6"/>
    <x v="0"/>
    <n v="2019.9"/>
    <n v="2116.7399999999998"/>
    <x v="1"/>
    <n v="0.11"/>
    <s v="Credit Card"/>
    <x v="0"/>
    <s v="North-Eve"/>
    <n v="12700.439999999999"/>
    <n v="12119.400000000001"/>
    <n v="581.03999999999724"/>
  </r>
  <r>
    <n v="1032"/>
    <x v="245"/>
    <x v="4"/>
    <x v="0"/>
    <n v="4095.65"/>
    <n v="11"/>
    <x v="2"/>
    <n v="2025.67"/>
    <n v="2081.5500000000002"/>
    <x v="1"/>
    <n v="0.27"/>
    <s v="Bank Transfer"/>
    <x v="0"/>
    <s v="East-Eve"/>
    <n v="22897.050000000003"/>
    <n v="22282.370000000003"/>
    <n v="614.68000000000029"/>
  </r>
  <r>
    <n v="1065"/>
    <x v="246"/>
    <x v="0"/>
    <x v="3"/>
    <n v="1621.54"/>
    <n v="12"/>
    <x v="1"/>
    <n v="2035.68"/>
    <n v="2079.64"/>
    <x v="0"/>
    <n v="0.04"/>
    <s v="Cash"/>
    <x v="0"/>
    <s v="South-Bob"/>
    <n v="24955.68"/>
    <n v="24428.16"/>
    <n v="527.52000000000044"/>
  </r>
  <r>
    <n v="1092"/>
    <x v="29"/>
    <x v="2"/>
    <x v="1"/>
    <n v="2749.17"/>
    <n v="34"/>
    <x v="3"/>
    <n v="2037.41"/>
    <n v="2238.65"/>
    <x v="1"/>
    <n v="0.3"/>
    <s v="Credit Card"/>
    <x v="0"/>
    <s v="West-David"/>
    <n v="76114.100000000006"/>
    <n v="69271.94"/>
    <n v="6842.1600000000035"/>
  </r>
  <r>
    <n v="1099"/>
    <x v="177"/>
    <x v="1"/>
    <x v="3"/>
    <n v="2496.02"/>
    <n v="2"/>
    <x v="1"/>
    <n v="2038.4"/>
    <n v="2073.3200000000002"/>
    <x v="1"/>
    <n v="0.16"/>
    <s v="Cash"/>
    <x v="1"/>
    <s v="South-Alice"/>
    <n v="4146.6400000000003"/>
    <n v="4076.8"/>
    <n v="69.840000000000146"/>
  </r>
  <r>
    <n v="1002"/>
    <x v="218"/>
    <x v="3"/>
    <x v="1"/>
    <n v="7828.25"/>
    <n v="26"/>
    <x v="0"/>
    <n v="2041.42"/>
    <n v="2291.17"/>
    <x v="0"/>
    <n v="0.28000000000000003"/>
    <s v="Cash"/>
    <x v="0"/>
    <s v="West-Charlie"/>
    <n v="59570.42"/>
    <n v="53076.92"/>
    <n v="6493.5"/>
  </r>
  <r>
    <n v="1030"/>
    <x v="242"/>
    <x v="1"/>
    <x v="1"/>
    <n v="8727"/>
    <n v="39"/>
    <x v="1"/>
    <n v="2041.75"/>
    <n v="2299.37"/>
    <x v="0"/>
    <n v="0.24"/>
    <s v="Bank Transfer"/>
    <x v="1"/>
    <s v="West-Alice"/>
    <n v="89675.43"/>
    <n v="79628.25"/>
    <n v="10047.179999999993"/>
  </r>
  <r>
    <n v="1053"/>
    <x v="247"/>
    <x v="0"/>
    <x v="2"/>
    <n v="660.2"/>
    <n v="44"/>
    <x v="3"/>
    <n v="2045"/>
    <n v="2217.5100000000002"/>
    <x v="0"/>
    <n v="0.08"/>
    <s v="Credit Card"/>
    <x v="0"/>
    <s v="North-Bob"/>
    <n v="97570.44"/>
    <n v="89980"/>
    <n v="7590.4400000000023"/>
  </r>
  <r>
    <n v="1024"/>
    <x v="248"/>
    <x v="2"/>
    <x v="2"/>
    <n v="4670.99"/>
    <n v="35"/>
    <x v="3"/>
    <n v="2051"/>
    <n v="2121.5500000000002"/>
    <x v="0"/>
    <n v="0.26"/>
    <s v="Cash"/>
    <x v="1"/>
    <s v="North-David"/>
    <n v="74254.25"/>
    <n v="71785"/>
    <n v="2469.25"/>
  </r>
  <r>
    <n v="1028"/>
    <x v="171"/>
    <x v="4"/>
    <x v="2"/>
    <n v="5403"/>
    <n v="28"/>
    <x v="3"/>
    <n v="2055.2800000000002"/>
    <n v="2449.64"/>
    <x v="1"/>
    <n v="0.19"/>
    <s v="Credit Card"/>
    <x v="0"/>
    <s v="North-Eve"/>
    <n v="68589.919999999998"/>
    <n v="57547.840000000004"/>
    <n v="11042.079999999994"/>
  </r>
  <r>
    <n v="1090"/>
    <x v="8"/>
    <x v="4"/>
    <x v="2"/>
    <n v="2132.8000000000002"/>
    <n v="41"/>
    <x v="3"/>
    <n v="2055.4899999999998"/>
    <n v="2441.46"/>
    <x v="1"/>
    <n v="0.24"/>
    <s v="Credit Card"/>
    <x v="0"/>
    <s v="North-Eve"/>
    <n v="100099.86"/>
    <n v="84275.09"/>
    <n v="15824.770000000004"/>
  </r>
  <r>
    <n v="1024"/>
    <x v="55"/>
    <x v="1"/>
    <x v="1"/>
    <n v="7734.12"/>
    <n v="42"/>
    <x v="2"/>
    <n v="2069.0500000000002"/>
    <n v="2363.9"/>
    <x v="0"/>
    <n v="7.0000000000000007E-2"/>
    <s v="Cash"/>
    <x v="0"/>
    <s v="West-Alice"/>
    <n v="99283.8"/>
    <n v="86900.1"/>
    <n v="12383.699999999997"/>
  </r>
  <r>
    <n v="1063"/>
    <x v="249"/>
    <x v="1"/>
    <x v="3"/>
    <n v="7859.01"/>
    <n v="27"/>
    <x v="2"/>
    <n v="2069.08"/>
    <n v="2246.2399999999998"/>
    <x v="1"/>
    <n v="0.06"/>
    <s v="Bank Transfer"/>
    <x v="1"/>
    <s v="South-Alice"/>
    <n v="60648.479999999996"/>
    <n v="55865.159999999996"/>
    <n v="4783.32"/>
  </r>
  <r>
    <n v="1091"/>
    <x v="167"/>
    <x v="3"/>
    <x v="3"/>
    <n v="675.11"/>
    <n v="44"/>
    <x v="2"/>
    <n v="2085.46"/>
    <n v="2406.58"/>
    <x v="0"/>
    <n v="0.06"/>
    <s v="Bank Transfer"/>
    <x v="1"/>
    <s v="South-Charlie"/>
    <n v="105889.51999999999"/>
    <n v="91760.24"/>
    <n v="14129.279999999984"/>
  </r>
  <r>
    <n v="1014"/>
    <x v="138"/>
    <x v="1"/>
    <x v="3"/>
    <n v="9582.1200000000008"/>
    <n v="38"/>
    <x v="2"/>
    <n v="2091.21"/>
    <n v="2527"/>
    <x v="0"/>
    <n v="0.01"/>
    <s v="Credit Card"/>
    <x v="0"/>
    <s v="South-Alice"/>
    <n v="96026"/>
    <n v="79465.98"/>
    <n v="16560.020000000004"/>
  </r>
  <r>
    <n v="1062"/>
    <x v="59"/>
    <x v="3"/>
    <x v="2"/>
    <n v="4790.72"/>
    <n v="28"/>
    <x v="0"/>
    <n v="2094.88"/>
    <n v="2168.91"/>
    <x v="0"/>
    <n v="0.08"/>
    <s v="Cash"/>
    <x v="1"/>
    <s v="North-Charlie"/>
    <n v="60729.479999999996"/>
    <n v="58656.639999999999"/>
    <n v="2072.8399999999965"/>
  </r>
  <r>
    <n v="1025"/>
    <x v="54"/>
    <x v="2"/>
    <x v="1"/>
    <n v="9215.32"/>
    <n v="28"/>
    <x v="1"/>
    <n v="2097.84"/>
    <n v="2270.9899999999998"/>
    <x v="1"/>
    <n v="0.13"/>
    <s v="Credit Card"/>
    <x v="1"/>
    <s v="West-David"/>
    <n v="63587.719999999994"/>
    <n v="58739.520000000004"/>
    <n v="4848.1999999999898"/>
  </r>
  <r>
    <n v="1063"/>
    <x v="250"/>
    <x v="3"/>
    <x v="2"/>
    <n v="5886.04"/>
    <n v="40"/>
    <x v="1"/>
    <n v="2101.3200000000002"/>
    <n v="2440.63"/>
    <x v="1"/>
    <n v="0.26"/>
    <s v="Bank Transfer"/>
    <x v="1"/>
    <s v="North-Charlie"/>
    <n v="97625.200000000012"/>
    <n v="84052.800000000003"/>
    <n v="13572.400000000009"/>
  </r>
  <r>
    <n v="1100"/>
    <x v="251"/>
    <x v="4"/>
    <x v="2"/>
    <n v="849.43"/>
    <n v="43"/>
    <x v="3"/>
    <n v="2116.09"/>
    <n v="2472.98"/>
    <x v="1"/>
    <n v="0.01"/>
    <s v="Credit Card"/>
    <x v="1"/>
    <s v="North-Eve"/>
    <n v="106338.14"/>
    <n v="90991.87000000001"/>
    <n v="15346.26999999999"/>
  </r>
  <r>
    <n v="1089"/>
    <x v="252"/>
    <x v="4"/>
    <x v="1"/>
    <n v="9933.2199999999993"/>
    <n v="23"/>
    <x v="2"/>
    <n v="2120.54"/>
    <n v="2597.67"/>
    <x v="0"/>
    <n v="0.26"/>
    <s v="Credit Card"/>
    <x v="1"/>
    <s v="West-Eve"/>
    <n v="59746.41"/>
    <n v="48772.42"/>
    <n v="10973.990000000005"/>
  </r>
  <r>
    <n v="1074"/>
    <x v="64"/>
    <x v="4"/>
    <x v="2"/>
    <n v="3570.15"/>
    <n v="42"/>
    <x v="3"/>
    <n v="2120.81"/>
    <n v="2611.94"/>
    <x v="0"/>
    <n v="0.23"/>
    <s v="Cash"/>
    <x v="0"/>
    <s v="North-Eve"/>
    <n v="109701.48"/>
    <n v="89074.02"/>
    <n v="20627.459999999992"/>
  </r>
  <r>
    <n v="1054"/>
    <x v="253"/>
    <x v="1"/>
    <x v="2"/>
    <n v="5664.52"/>
    <n v="43"/>
    <x v="2"/>
    <n v="2124.7199999999998"/>
    <n v="2188.66"/>
    <x v="0"/>
    <n v="0.03"/>
    <s v="Credit Card"/>
    <x v="1"/>
    <s v="North-Alice"/>
    <n v="94112.37999999999"/>
    <n v="91362.959999999992"/>
    <n v="2749.4199999999983"/>
  </r>
  <r>
    <n v="1005"/>
    <x v="170"/>
    <x v="1"/>
    <x v="3"/>
    <n v="8635.81"/>
    <n v="28"/>
    <x v="3"/>
    <n v="2146.2399999999998"/>
    <n v="2173.4699999999998"/>
    <x v="0"/>
    <n v="0.1"/>
    <s v="Cash"/>
    <x v="1"/>
    <s v="South-Alice"/>
    <n v="60857.159999999996"/>
    <n v="60094.719999999994"/>
    <n v="762.44000000000233"/>
  </r>
  <r>
    <n v="1073"/>
    <x v="213"/>
    <x v="2"/>
    <x v="2"/>
    <n v="1347.42"/>
    <n v="29"/>
    <x v="0"/>
    <n v="2152.6799999999998"/>
    <n v="2475.9299999999998"/>
    <x v="0"/>
    <n v="0.22"/>
    <s v="Bank Transfer"/>
    <x v="0"/>
    <s v="North-David"/>
    <n v="71801.97"/>
    <n v="62427.719999999994"/>
    <n v="9374.2500000000073"/>
  </r>
  <r>
    <n v="1001"/>
    <x v="84"/>
    <x v="0"/>
    <x v="1"/>
    <n v="5879.35"/>
    <n v="20"/>
    <x v="2"/>
    <n v="2153.52"/>
    <n v="2303.6999999999998"/>
    <x v="0"/>
    <n v="0.01"/>
    <s v="Cash"/>
    <x v="1"/>
    <s v="West-Bob"/>
    <n v="46074"/>
    <n v="43070.400000000001"/>
    <n v="3003.5999999999985"/>
  </r>
  <r>
    <n v="1050"/>
    <x v="254"/>
    <x v="3"/>
    <x v="0"/>
    <n v="9744.52"/>
    <n v="35"/>
    <x v="0"/>
    <n v="2158.69"/>
    <n v="2384.38"/>
    <x v="0"/>
    <n v="0.09"/>
    <s v="Bank Transfer"/>
    <x v="1"/>
    <s v="East-Charlie"/>
    <n v="83453.3"/>
    <n v="75554.150000000009"/>
    <n v="7899.1499999999942"/>
  </r>
  <r>
    <n v="1097"/>
    <x v="255"/>
    <x v="3"/>
    <x v="0"/>
    <n v="7509.01"/>
    <n v="10"/>
    <x v="3"/>
    <n v="2162.9499999999998"/>
    <n v="2191.1899999999901"/>
    <x v="0"/>
    <n v="0.2"/>
    <s v="Credit Card"/>
    <x v="0"/>
    <s v="East-Charlie"/>
    <n v="21911.8999999999"/>
    <n v="21629.5"/>
    <n v="282.39999999989959"/>
  </r>
  <r>
    <n v="1067"/>
    <x v="116"/>
    <x v="3"/>
    <x v="2"/>
    <n v="2850.74"/>
    <n v="32"/>
    <x v="2"/>
    <n v="2171.79"/>
    <n v="2307.64"/>
    <x v="0"/>
    <n v="0.22"/>
    <s v="Bank Transfer"/>
    <x v="0"/>
    <s v="North-Charlie"/>
    <n v="73844.479999999996"/>
    <n v="69497.279999999999"/>
    <n v="4347.1999999999971"/>
  </r>
  <r>
    <n v="1042"/>
    <x v="21"/>
    <x v="2"/>
    <x v="3"/>
    <n v="2298.5500000000002"/>
    <n v="46"/>
    <x v="3"/>
    <n v="2172.38"/>
    <n v="2367.11"/>
    <x v="1"/>
    <n v="0.16"/>
    <s v="Cash"/>
    <x v="1"/>
    <s v="South-David"/>
    <n v="108887.06000000001"/>
    <n v="99929.48000000001"/>
    <n v="8957.5800000000017"/>
  </r>
  <r>
    <n v="1044"/>
    <x v="256"/>
    <x v="0"/>
    <x v="1"/>
    <n v="8552.4699999999993"/>
    <n v="19"/>
    <x v="2"/>
    <n v="2182.75"/>
    <n v="2504.0299999999902"/>
    <x v="1"/>
    <n v="0.01"/>
    <s v="Bank Transfer"/>
    <x v="0"/>
    <s v="West-Bob"/>
    <n v="47576.569999999811"/>
    <n v="41472.25"/>
    <n v="6104.3199999998105"/>
  </r>
  <r>
    <n v="1090"/>
    <x v="192"/>
    <x v="1"/>
    <x v="2"/>
    <n v="3349.51"/>
    <n v="16"/>
    <x v="0"/>
    <n v="2183.37"/>
    <n v="2263.3599999999901"/>
    <x v="0"/>
    <n v="0"/>
    <s v="Bank Transfer"/>
    <x v="1"/>
    <s v="North-Alice"/>
    <n v="36213.759999999842"/>
    <n v="34933.919999999998"/>
    <n v="1279.8399999998437"/>
  </r>
  <r>
    <n v="1091"/>
    <x v="163"/>
    <x v="0"/>
    <x v="1"/>
    <n v="7611.28"/>
    <n v="39"/>
    <x v="3"/>
    <n v="2184.4899999999998"/>
    <n v="2540.4199999999901"/>
    <x v="0"/>
    <n v="0.27"/>
    <s v="Bank Transfer"/>
    <x v="0"/>
    <s v="West-Bob"/>
    <n v="99076.379999999612"/>
    <n v="85195.109999999986"/>
    <n v="13881.269999999626"/>
  </r>
  <r>
    <n v="1063"/>
    <x v="78"/>
    <x v="2"/>
    <x v="3"/>
    <n v="2186.85"/>
    <n v="14"/>
    <x v="0"/>
    <n v="2188.35"/>
    <n v="2605.3599999999901"/>
    <x v="0"/>
    <n v="0.2"/>
    <s v="Credit Card"/>
    <x v="1"/>
    <s v="South-David"/>
    <n v="36475.039999999863"/>
    <n v="30636.899999999998"/>
    <n v="5838.1399999998648"/>
  </r>
  <r>
    <n v="1020"/>
    <x v="257"/>
    <x v="0"/>
    <x v="0"/>
    <n v="1958.45"/>
    <n v="45"/>
    <x v="0"/>
    <n v="2188.4499999999998"/>
    <n v="2255.0499999999902"/>
    <x v="1"/>
    <n v="0.11"/>
    <s v="Bank Transfer"/>
    <x v="1"/>
    <s v="East-Bob"/>
    <n v="101477.24999999956"/>
    <n v="98480.249999999985"/>
    <n v="2996.999999999578"/>
  </r>
  <r>
    <n v="1040"/>
    <x v="137"/>
    <x v="2"/>
    <x v="2"/>
    <n v="6601.62"/>
    <n v="47"/>
    <x v="1"/>
    <n v="2189.54"/>
    <n v="2617"/>
    <x v="1"/>
    <n v="0.01"/>
    <s v="Bank Transfer"/>
    <x v="0"/>
    <s v="North-David"/>
    <n v="122999"/>
    <n v="102908.38"/>
    <n v="20090.619999999995"/>
  </r>
  <r>
    <n v="1003"/>
    <x v="258"/>
    <x v="4"/>
    <x v="1"/>
    <n v="5617.64"/>
    <n v="5"/>
    <x v="2"/>
    <n v="2206.58"/>
    <n v="2490.4699999999998"/>
    <x v="1"/>
    <n v="0.28000000000000003"/>
    <s v="Cash"/>
    <x v="0"/>
    <s v="West-Eve"/>
    <n v="12452.349999999999"/>
    <n v="11032.9"/>
    <n v="1419.4499999999989"/>
  </r>
  <r>
    <n v="1060"/>
    <x v="259"/>
    <x v="2"/>
    <x v="3"/>
    <n v="8594.43"/>
    <n v="44"/>
    <x v="0"/>
    <n v="2211.9499999999998"/>
    <n v="2512.8399999999901"/>
    <x v="0"/>
    <n v="0.04"/>
    <s v="Cash"/>
    <x v="0"/>
    <s v="South-David"/>
    <n v="110564.95999999957"/>
    <n v="97325.799999999988"/>
    <n v="13239.159999999581"/>
  </r>
  <r>
    <n v="1044"/>
    <x v="205"/>
    <x v="2"/>
    <x v="1"/>
    <n v="9396.7800000000007"/>
    <n v="12"/>
    <x v="1"/>
    <n v="2221.31"/>
    <n v="2494.48"/>
    <x v="0"/>
    <n v="0.22"/>
    <s v="Bank Transfer"/>
    <x v="0"/>
    <s v="West-David"/>
    <n v="29933.760000000002"/>
    <n v="26655.72"/>
    <n v="3278.0400000000009"/>
  </r>
  <r>
    <n v="1075"/>
    <x v="99"/>
    <x v="3"/>
    <x v="1"/>
    <n v="8239.58"/>
    <n v="18"/>
    <x v="0"/>
    <n v="2228.35"/>
    <n v="2682.34"/>
    <x v="1"/>
    <n v="0.13"/>
    <s v="Bank Transfer"/>
    <x v="0"/>
    <s v="West-Charlie"/>
    <n v="48282.12"/>
    <n v="40110.299999999996"/>
    <n v="8171.820000000007"/>
  </r>
  <r>
    <n v="1012"/>
    <x v="89"/>
    <x v="0"/>
    <x v="1"/>
    <n v="8821.6299999999992"/>
    <n v="13"/>
    <x v="1"/>
    <n v="2231.66"/>
    <n v="2596.6099999999901"/>
    <x v="0"/>
    <n v="0.09"/>
    <s v="Bank Transfer"/>
    <x v="1"/>
    <s v="West-Bob"/>
    <n v="33755.929999999869"/>
    <n v="29011.579999999998"/>
    <n v="4744.3499999998712"/>
  </r>
  <r>
    <n v="1064"/>
    <x v="260"/>
    <x v="2"/>
    <x v="3"/>
    <n v="5533.7"/>
    <n v="10"/>
    <x v="1"/>
    <n v="2242.0100000000002"/>
    <n v="2282.23"/>
    <x v="0"/>
    <n v="0.2"/>
    <s v="Credit Card"/>
    <x v="0"/>
    <s v="South-David"/>
    <n v="22822.3"/>
    <n v="22420.100000000002"/>
    <n v="402.19999999999709"/>
  </r>
  <r>
    <n v="1086"/>
    <x v="188"/>
    <x v="0"/>
    <x v="2"/>
    <n v="8414.0400000000009"/>
    <n v="46"/>
    <x v="0"/>
    <n v="2245.64"/>
    <n v="2260.81"/>
    <x v="1"/>
    <n v="0"/>
    <s v="Cash"/>
    <x v="1"/>
    <s v="North-Bob"/>
    <n v="103997.26"/>
    <n v="103299.43999999999"/>
    <n v="697.82000000000698"/>
  </r>
  <r>
    <n v="1089"/>
    <x v="17"/>
    <x v="0"/>
    <x v="3"/>
    <n v="2975.99"/>
    <n v="48"/>
    <x v="2"/>
    <n v="2246.67"/>
    <n v="2486.14"/>
    <x v="1"/>
    <n v="0.03"/>
    <s v="Cash"/>
    <x v="1"/>
    <s v="South-Bob"/>
    <n v="119334.72"/>
    <n v="107840.16"/>
    <n v="11494.559999999998"/>
  </r>
  <r>
    <n v="1086"/>
    <x v="261"/>
    <x v="0"/>
    <x v="1"/>
    <n v="7841.4"/>
    <n v="25"/>
    <x v="2"/>
    <n v="2248.71"/>
    <n v="2626.02"/>
    <x v="1"/>
    <n v="0.08"/>
    <s v="Bank Transfer"/>
    <x v="0"/>
    <s v="West-Bob"/>
    <n v="65650.5"/>
    <n v="56217.75"/>
    <n v="9432.75"/>
  </r>
  <r>
    <n v="1058"/>
    <x v="262"/>
    <x v="4"/>
    <x v="3"/>
    <n v="3788.08"/>
    <n v="40"/>
    <x v="3"/>
    <n v="2249.7600000000002"/>
    <n v="2598.4"/>
    <x v="0"/>
    <n v="0.18"/>
    <s v="Credit Card"/>
    <x v="1"/>
    <s v="South-Eve"/>
    <n v="103936"/>
    <n v="89990.400000000009"/>
    <n v="13945.599999999991"/>
  </r>
  <r>
    <n v="1058"/>
    <x v="263"/>
    <x v="2"/>
    <x v="2"/>
    <n v="2782.33"/>
    <n v="2"/>
    <x v="0"/>
    <n v="2250.91"/>
    <n v="2558.6799999999998"/>
    <x v="1"/>
    <n v="0.09"/>
    <s v="Credit Card"/>
    <x v="1"/>
    <s v="North-David"/>
    <n v="5117.3599999999997"/>
    <n v="4501.82"/>
    <n v="615.54"/>
  </r>
  <r>
    <n v="1096"/>
    <x v="182"/>
    <x v="0"/>
    <x v="3"/>
    <n v="9019.51"/>
    <n v="14"/>
    <x v="3"/>
    <n v="2251.9499999999998"/>
    <n v="2626.3199999999902"/>
    <x v="0"/>
    <n v="0.21"/>
    <s v="Credit Card"/>
    <x v="0"/>
    <s v="South-Bob"/>
    <n v="36768.479999999865"/>
    <n v="31527.299999999996"/>
    <n v="5241.1799999998693"/>
  </r>
  <r>
    <n v="1085"/>
    <x v="238"/>
    <x v="3"/>
    <x v="0"/>
    <n v="2070.02"/>
    <n v="42"/>
    <x v="0"/>
    <n v="2254.11"/>
    <n v="2382.23"/>
    <x v="0"/>
    <n v="0.15"/>
    <s v="Credit Card"/>
    <x v="1"/>
    <s v="East-Charlie"/>
    <n v="100053.66"/>
    <n v="94672.62000000001"/>
    <n v="5381.0399999999936"/>
  </r>
  <r>
    <n v="1021"/>
    <x v="264"/>
    <x v="1"/>
    <x v="3"/>
    <n v="6483.84"/>
    <n v="31"/>
    <x v="3"/>
    <n v="2254.9899999999998"/>
    <n v="2441.79"/>
    <x v="0"/>
    <n v="0.24"/>
    <s v="Bank Transfer"/>
    <x v="0"/>
    <s v="South-Alice"/>
    <n v="75695.490000000005"/>
    <n v="69904.689999999988"/>
    <n v="5790.8000000000175"/>
  </r>
  <r>
    <n v="1014"/>
    <x v="109"/>
    <x v="2"/>
    <x v="1"/>
    <n v="823.51"/>
    <n v="44"/>
    <x v="2"/>
    <n v="2257.48"/>
    <n v="2747.81"/>
    <x v="0"/>
    <n v="0.27"/>
    <s v="Cash"/>
    <x v="0"/>
    <s v="West-David"/>
    <n v="120903.64"/>
    <n v="99329.12"/>
    <n v="21574.520000000004"/>
  </r>
  <r>
    <n v="1053"/>
    <x v="265"/>
    <x v="2"/>
    <x v="2"/>
    <n v="6033.09"/>
    <n v="1"/>
    <x v="2"/>
    <n v="2258.44"/>
    <n v="2475.56"/>
    <x v="1"/>
    <n v="0.25"/>
    <s v="Cash"/>
    <x v="0"/>
    <s v="North-David"/>
    <n v="2475.56"/>
    <n v="2258.44"/>
    <n v="217.11999999999989"/>
  </r>
  <r>
    <n v="1077"/>
    <x v="266"/>
    <x v="2"/>
    <x v="0"/>
    <n v="1960.41"/>
    <n v="24"/>
    <x v="1"/>
    <n v="2258.54"/>
    <n v="2439.4899999999998"/>
    <x v="0"/>
    <n v="0.2"/>
    <s v="Credit Card"/>
    <x v="1"/>
    <s v="East-David"/>
    <n v="58547.759999999995"/>
    <n v="54204.959999999999"/>
    <n v="4342.7999999999956"/>
  </r>
  <r>
    <n v="1022"/>
    <x v="177"/>
    <x v="2"/>
    <x v="0"/>
    <n v="8913.1299999999992"/>
    <n v="9"/>
    <x v="1"/>
    <n v="2263.65"/>
    <n v="2558.9499999999998"/>
    <x v="1"/>
    <n v="0.03"/>
    <s v="Cash"/>
    <x v="0"/>
    <s v="East-David"/>
    <n v="23030.55"/>
    <n v="20372.850000000002"/>
    <n v="2657.6999999999971"/>
  </r>
  <r>
    <n v="1010"/>
    <x v="214"/>
    <x v="2"/>
    <x v="0"/>
    <n v="1678.97"/>
    <n v="47"/>
    <x v="3"/>
    <n v="2265.38"/>
    <n v="2429.9299999999998"/>
    <x v="0"/>
    <n v="0.06"/>
    <s v="Bank Transfer"/>
    <x v="0"/>
    <s v="East-David"/>
    <n v="114206.70999999999"/>
    <n v="106472.86"/>
    <n v="7733.8499999999913"/>
  </r>
  <r>
    <n v="1008"/>
    <x v="253"/>
    <x v="4"/>
    <x v="1"/>
    <n v="5751.69"/>
    <n v="22"/>
    <x v="1"/>
    <n v="2269.3200000000002"/>
    <n v="2365.35"/>
    <x v="1"/>
    <n v="0.03"/>
    <s v="Cash"/>
    <x v="1"/>
    <s v="West-Eve"/>
    <n v="52037.7"/>
    <n v="49925.04"/>
    <n v="2112.6599999999962"/>
  </r>
  <r>
    <n v="1092"/>
    <x v="267"/>
    <x v="3"/>
    <x v="2"/>
    <n v="3206.89"/>
    <n v="15"/>
    <x v="0"/>
    <n v="2273.88"/>
    <n v="2696.02"/>
    <x v="1"/>
    <n v="0.3"/>
    <s v="Cash"/>
    <x v="0"/>
    <s v="North-Charlie"/>
    <n v="40440.300000000003"/>
    <n v="34108.200000000004"/>
    <n v="6332.0999999999985"/>
  </r>
  <r>
    <n v="1086"/>
    <x v="94"/>
    <x v="1"/>
    <x v="3"/>
    <n v="2928.5"/>
    <n v="10"/>
    <x v="3"/>
    <n v="2273.91"/>
    <n v="2578.7999999999902"/>
    <x v="1"/>
    <n v="0.14000000000000001"/>
    <s v="Cash"/>
    <x v="0"/>
    <s v="South-Alice"/>
    <n v="25787.999999999902"/>
    <n v="22739.1"/>
    <n v="3048.8999999999032"/>
  </r>
  <r>
    <n v="1064"/>
    <x v="44"/>
    <x v="1"/>
    <x v="2"/>
    <n v="6201.37"/>
    <n v="21"/>
    <x v="0"/>
    <n v="2278.04"/>
    <n v="2598.58"/>
    <x v="0"/>
    <n v="0.02"/>
    <s v="Credit Card"/>
    <x v="1"/>
    <s v="North-Alice"/>
    <n v="54570.18"/>
    <n v="47838.84"/>
    <n v="6731.3400000000038"/>
  </r>
  <r>
    <n v="1009"/>
    <x v="174"/>
    <x v="2"/>
    <x v="1"/>
    <n v="8401.07"/>
    <n v="12"/>
    <x v="3"/>
    <n v="2278.67"/>
    <n v="2476.8000000000002"/>
    <x v="1"/>
    <n v="0.09"/>
    <s v="Cash"/>
    <x v="1"/>
    <s v="West-David"/>
    <n v="29721.600000000002"/>
    <n v="27344.04"/>
    <n v="2377.5600000000013"/>
  </r>
  <r>
    <n v="1004"/>
    <x v="145"/>
    <x v="4"/>
    <x v="2"/>
    <n v="6772.8"/>
    <n v="35"/>
    <x v="0"/>
    <n v="2278.87"/>
    <n v="2646.5299999999902"/>
    <x v="0"/>
    <n v="0.09"/>
    <s v="Bank Transfer"/>
    <x v="0"/>
    <s v="North-Eve"/>
    <n v="92628.549999999654"/>
    <n v="79760.45"/>
    <n v="12868.099999999657"/>
  </r>
  <r>
    <n v="1009"/>
    <x v="101"/>
    <x v="1"/>
    <x v="2"/>
    <n v="1342.95"/>
    <n v="33"/>
    <x v="0"/>
    <n v="2278.9"/>
    <n v="2626.9"/>
    <x v="1"/>
    <n v="0.05"/>
    <s v="Credit Card"/>
    <x v="0"/>
    <s v="North-Alice"/>
    <n v="86687.7"/>
    <n v="75203.7"/>
    <n v="11484"/>
  </r>
  <r>
    <n v="1082"/>
    <x v="146"/>
    <x v="3"/>
    <x v="2"/>
    <n v="3207.37"/>
    <n v="43"/>
    <x v="3"/>
    <n v="2289.2199999999998"/>
    <n v="2581"/>
    <x v="1"/>
    <n v="0.05"/>
    <s v="Bank Transfer"/>
    <x v="0"/>
    <s v="North-Charlie"/>
    <n v="110983"/>
    <n v="98436.459999999992"/>
    <n v="12546.540000000008"/>
  </r>
  <r>
    <n v="1008"/>
    <x v="263"/>
    <x v="3"/>
    <x v="1"/>
    <n v="765.83"/>
    <n v="23"/>
    <x v="0"/>
    <n v="2296.9299999999998"/>
    <n v="2319.62"/>
    <x v="0"/>
    <n v="0.23"/>
    <s v="Bank Transfer"/>
    <x v="1"/>
    <s v="West-Charlie"/>
    <n v="53351.259999999995"/>
    <n v="52829.39"/>
    <n v="521.86999999999534"/>
  </r>
  <r>
    <n v="1063"/>
    <x v="268"/>
    <x v="3"/>
    <x v="1"/>
    <n v="3889.71"/>
    <n v="46"/>
    <x v="3"/>
    <n v="2302.62"/>
    <n v="2740.93"/>
    <x v="0"/>
    <n v="0.25"/>
    <s v="Bank Transfer"/>
    <x v="0"/>
    <s v="West-Charlie"/>
    <n v="126082.78"/>
    <n v="105920.51999999999"/>
    <n v="20162.260000000009"/>
  </r>
  <r>
    <n v="1090"/>
    <x v="93"/>
    <x v="2"/>
    <x v="0"/>
    <n v="6761.43"/>
    <n v="47"/>
    <x v="3"/>
    <n v="2310.8200000000002"/>
    <n v="2714.71"/>
    <x v="1"/>
    <n v="0.19"/>
    <s v="Cash"/>
    <x v="1"/>
    <s v="East-David"/>
    <n v="127591.37"/>
    <n v="108608.54000000001"/>
    <n v="18982.829999999987"/>
  </r>
  <r>
    <n v="1023"/>
    <x v="101"/>
    <x v="3"/>
    <x v="2"/>
    <n v="9850.1"/>
    <n v="5"/>
    <x v="1"/>
    <n v="2311.25"/>
    <n v="2482.34"/>
    <x v="0"/>
    <n v="0.22"/>
    <s v="Credit Card"/>
    <x v="1"/>
    <s v="North-Charlie"/>
    <n v="12411.7"/>
    <n v="11556.25"/>
    <n v="855.45000000000073"/>
  </r>
  <r>
    <n v="1022"/>
    <x v="114"/>
    <x v="4"/>
    <x v="0"/>
    <n v="2761.65"/>
    <n v="13"/>
    <x v="2"/>
    <n v="2312.4499999999998"/>
    <n v="2504.6"/>
    <x v="0"/>
    <n v="0.06"/>
    <s v="Bank Transfer"/>
    <x v="0"/>
    <s v="East-Eve"/>
    <n v="32559.8"/>
    <n v="30061.85"/>
    <n v="2497.9500000000007"/>
  </r>
  <r>
    <n v="1092"/>
    <x v="88"/>
    <x v="1"/>
    <x v="1"/>
    <n v="1897.98"/>
    <n v="49"/>
    <x v="3"/>
    <n v="2315"/>
    <n v="2467.2800000000002"/>
    <x v="1"/>
    <n v="0.15"/>
    <s v="Bank Transfer"/>
    <x v="1"/>
    <s v="West-Alice"/>
    <n v="120896.72000000002"/>
    <n v="113435"/>
    <n v="7461.7200000000157"/>
  </r>
  <r>
    <n v="1018"/>
    <x v="171"/>
    <x v="1"/>
    <x v="0"/>
    <n v="2260.25"/>
    <n v="1"/>
    <x v="1"/>
    <n v="2315.83"/>
    <n v="2333.19"/>
    <x v="1"/>
    <n v="0.01"/>
    <s v="Cash"/>
    <x v="1"/>
    <s v="East-Alice"/>
    <n v="2333.19"/>
    <n v="2315.83"/>
    <n v="17.360000000000127"/>
  </r>
  <r>
    <n v="1080"/>
    <x v="115"/>
    <x v="2"/>
    <x v="3"/>
    <n v="5677.74"/>
    <n v="12"/>
    <x v="1"/>
    <n v="2316.13"/>
    <n v="2525.27"/>
    <x v="0"/>
    <n v="0.12"/>
    <s v="Credit Card"/>
    <x v="1"/>
    <s v="South-David"/>
    <n v="30303.239999999998"/>
    <n v="27793.56"/>
    <n v="2509.6799999999967"/>
  </r>
  <r>
    <n v="1054"/>
    <x v="248"/>
    <x v="2"/>
    <x v="2"/>
    <n v="7524.78"/>
    <n v="48"/>
    <x v="2"/>
    <n v="2316.92"/>
    <n v="2462.63"/>
    <x v="1"/>
    <n v="0.04"/>
    <s v="Credit Card"/>
    <x v="0"/>
    <s v="North-David"/>
    <n v="118206.24"/>
    <n v="111212.16"/>
    <n v="6994.0800000000017"/>
  </r>
  <r>
    <n v="1056"/>
    <x v="269"/>
    <x v="0"/>
    <x v="1"/>
    <n v="7591.63"/>
    <n v="35"/>
    <x v="3"/>
    <n v="2344.9299999999998"/>
    <n v="2707.25"/>
    <x v="1"/>
    <n v="0.12"/>
    <s v="Credit Card"/>
    <x v="1"/>
    <s v="West-Bob"/>
    <n v="94753.75"/>
    <n v="82072.549999999988"/>
    <n v="12681.200000000012"/>
  </r>
  <r>
    <n v="1050"/>
    <x v="115"/>
    <x v="2"/>
    <x v="2"/>
    <n v="9976.52"/>
    <n v="17"/>
    <x v="3"/>
    <n v="2346.8000000000002"/>
    <n v="2654.65"/>
    <x v="1"/>
    <n v="0.13"/>
    <s v="Cash"/>
    <x v="1"/>
    <s v="North-David"/>
    <n v="45129.05"/>
    <n v="39895.600000000006"/>
    <n v="5233.4499999999971"/>
  </r>
  <r>
    <n v="1090"/>
    <x v="270"/>
    <x v="0"/>
    <x v="1"/>
    <n v="9088.2000000000007"/>
    <n v="31"/>
    <x v="0"/>
    <n v="2347.81"/>
    <n v="2668.02"/>
    <x v="0"/>
    <n v="0.09"/>
    <s v="Bank Transfer"/>
    <x v="1"/>
    <s v="West-Bob"/>
    <n v="82708.62"/>
    <n v="72782.11"/>
    <n v="9926.5099999999948"/>
  </r>
  <r>
    <n v="1090"/>
    <x v="27"/>
    <x v="3"/>
    <x v="1"/>
    <n v="7122.28"/>
    <n v="47"/>
    <x v="0"/>
    <n v="2357.9499999999998"/>
    <n v="2693.33"/>
    <x v="1"/>
    <n v="0.18"/>
    <s v="Bank Transfer"/>
    <x v="0"/>
    <s v="West-Charlie"/>
    <n v="126586.51"/>
    <n v="110823.65"/>
    <n v="15762.86"/>
  </r>
  <r>
    <n v="1062"/>
    <x v="126"/>
    <x v="2"/>
    <x v="0"/>
    <n v="2605.71"/>
    <n v="25"/>
    <x v="2"/>
    <n v="2361.0500000000002"/>
    <n v="2616.19"/>
    <x v="1"/>
    <n v="0.3"/>
    <s v="Bank Transfer"/>
    <x v="1"/>
    <s v="East-David"/>
    <n v="65404.75"/>
    <n v="59026.250000000007"/>
    <n v="6378.4999999999927"/>
  </r>
  <r>
    <n v="1056"/>
    <x v="189"/>
    <x v="3"/>
    <x v="1"/>
    <n v="5720.5"/>
    <n v="25"/>
    <x v="2"/>
    <n v="2361.7399999999998"/>
    <n v="2584.35"/>
    <x v="0"/>
    <n v="0.2"/>
    <s v="Cash"/>
    <x v="0"/>
    <s v="West-Charlie"/>
    <n v="64608.75"/>
    <n v="59043.499999999993"/>
    <n v="5565.2500000000073"/>
  </r>
  <r>
    <n v="1027"/>
    <x v="191"/>
    <x v="1"/>
    <x v="0"/>
    <n v="8241.57"/>
    <n v="7"/>
    <x v="2"/>
    <n v="2371.85"/>
    <n v="2457.29"/>
    <x v="1"/>
    <n v="0.03"/>
    <s v="Cash"/>
    <x v="1"/>
    <s v="East-Alice"/>
    <n v="17201.03"/>
    <n v="16602.95"/>
    <n v="598.07999999999811"/>
  </r>
  <r>
    <n v="1090"/>
    <x v="271"/>
    <x v="1"/>
    <x v="0"/>
    <n v="2359.5300000000002"/>
    <n v="17"/>
    <x v="0"/>
    <n v="2382.98"/>
    <n v="2839.73"/>
    <x v="0"/>
    <n v="0.23"/>
    <s v="Bank Transfer"/>
    <x v="1"/>
    <s v="East-Alice"/>
    <n v="48275.41"/>
    <n v="40510.660000000003"/>
    <n v="7764.75"/>
  </r>
  <r>
    <n v="1019"/>
    <x v="139"/>
    <x v="0"/>
    <x v="1"/>
    <n v="6882.83"/>
    <n v="27"/>
    <x v="1"/>
    <n v="2387.52"/>
    <n v="2604.06"/>
    <x v="0"/>
    <n v="0.16"/>
    <s v="Cash"/>
    <x v="0"/>
    <s v="West-Bob"/>
    <n v="70309.62"/>
    <n v="64463.040000000001"/>
    <n v="5846.5799999999945"/>
  </r>
  <r>
    <n v="1090"/>
    <x v="272"/>
    <x v="3"/>
    <x v="1"/>
    <n v="656.14"/>
    <n v="10"/>
    <x v="3"/>
    <n v="2387.63"/>
    <n v="2438.9699999999998"/>
    <x v="0"/>
    <n v="0.02"/>
    <s v="Bank Transfer"/>
    <x v="1"/>
    <s v="West-Charlie"/>
    <n v="24389.699999999997"/>
    <n v="23876.300000000003"/>
    <n v="513.39999999999418"/>
  </r>
  <r>
    <n v="1044"/>
    <x v="199"/>
    <x v="3"/>
    <x v="2"/>
    <n v="2541.38"/>
    <n v="6"/>
    <x v="3"/>
    <n v="2388.9499999999998"/>
    <n v="2742.97"/>
    <x v="0"/>
    <n v="0.25"/>
    <s v="Credit Card"/>
    <x v="1"/>
    <s v="North-Charlie"/>
    <n v="16457.82"/>
    <n v="14333.699999999999"/>
    <n v="2124.1200000000008"/>
  </r>
  <r>
    <n v="1078"/>
    <x v="183"/>
    <x v="4"/>
    <x v="1"/>
    <n v="3808.03"/>
    <n v="33"/>
    <x v="0"/>
    <n v="2396.6799999999998"/>
    <n v="2661.54"/>
    <x v="1"/>
    <n v="0.18"/>
    <s v="Bank Transfer"/>
    <x v="0"/>
    <s v="West-Eve"/>
    <n v="87830.819999999992"/>
    <n v="79090.439999999988"/>
    <n v="8740.3800000000047"/>
  </r>
  <r>
    <n v="1057"/>
    <x v="200"/>
    <x v="0"/>
    <x v="3"/>
    <n v="3772.32"/>
    <n v="31"/>
    <x v="3"/>
    <n v="2403.16"/>
    <n v="2453.35"/>
    <x v="0"/>
    <n v="0.19"/>
    <s v="Credit Card"/>
    <x v="0"/>
    <s v="South-Bob"/>
    <n v="76053.849999999991"/>
    <n v="74497.959999999992"/>
    <n v="1555.8899999999994"/>
  </r>
  <r>
    <n v="1042"/>
    <x v="178"/>
    <x v="4"/>
    <x v="2"/>
    <n v="9772.3700000000008"/>
    <n v="25"/>
    <x v="2"/>
    <n v="2403.54"/>
    <n v="2850.56"/>
    <x v="1"/>
    <n v="0.13"/>
    <s v="Bank Transfer"/>
    <x v="0"/>
    <s v="North-Eve"/>
    <n v="71264"/>
    <n v="60088.5"/>
    <n v="11175.5"/>
  </r>
  <r>
    <n v="1098"/>
    <x v="181"/>
    <x v="1"/>
    <x v="1"/>
    <n v="3166.9"/>
    <n v="31"/>
    <x v="2"/>
    <n v="2407.8000000000002"/>
    <n v="2502.7600000000002"/>
    <x v="0"/>
    <n v="0.27"/>
    <s v="Cash"/>
    <x v="1"/>
    <s v="West-Alice"/>
    <n v="77585.560000000012"/>
    <n v="74641.8"/>
    <n v="2943.7600000000093"/>
  </r>
  <r>
    <n v="1083"/>
    <x v="138"/>
    <x v="0"/>
    <x v="1"/>
    <n v="618.30999999999995"/>
    <n v="29"/>
    <x v="3"/>
    <n v="2408.81"/>
    <n v="2624.09"/>
    <x v="0"/>
    <n v="0.14000000000000001"/>
    <s v="Cash"/>
    <x v="0"/>
    <s v="West-Bob"/>
    <n v="76098.61"/>
    <n v="69855.490000000005"/>
    <n v="6243.1199999999953"/>
  </r>
  <r>
    <n v="1018"/>
    <x v="239"/>
    <x v="1"/>
    <x v="0"/>
    <n v="3187.45"/>
    <n v="11"/>
    <x v="0"/>
    <n v="2414.8200000000002"/>
    <n v="2519.0700000000002"/>
    <x v="0"/>
    <n v="0"/>
    <s v="Cash"/>
    <x v="0"/>
    <s v="East-Alice"/>
    <n v="27709.77"/>
    <n v="26563.02"/>
    <n v="1146.75"/>
  </r>
  <r>
    <n v="1004"/>
    <x v="71"/>
    <x v="4"/>
    <x v="3"/>
    <n v="7762.51"/>
    <n v="39"/>
    <x v="1"/>
    <n v="2416.89"/>
    <n v="2778.3999999999901"/>
    <x v="0"/>
    <n v="0.05"/>
    <s v="Cash"/>
    <x v="0"/>
    <s v="South-Eve"/>
    <n v="108357.59999999961"/>
    <n v="94258.709999999992"/>
    <n v="14098.889999999621"/>
  </r>
  <r>
    <n v="1077"/>
    <x v="117"/>
    <x v="4"/>
    <x v="1"/>
    <n v="9605.34"/>
    <n v="12"/>
    <x v="0"/>
    <n v="2427.46"/>
    <n v="2743.09"/>
    <x v="1"/>
    <n v="0.28999999999999998"/>
    <s v="Credit Card"/>
    <x v="1"/>
    <s v="West-Eve"/>
    <n v="32917.08"/>
    <n v="29129.52"/>
    <n v="3787.5600000000013"/>
  </r>
  <r>
    <n v="1001"/>
    <x v="27"/>
    <x v="4"/>
    <x v="3"/>
    <n v="2126.33"/>
    <n v="39"/>
    <x v="2"/>
    <n v="2437.2600000000002"/>
    <n v="2889.67"/>
    <x v="0"/>
    <n v="0.25"/>
    <s v="Cash"/>
    <x v="0"/>
    <s v="South-Eve"/>
    <n v="112697.13"/>
    <n v="95053.140000000014"/>
    <n v="17643.989999999991"/>
  </r>
  <r>
    <n v="1088"/>
    <x v="19"/>
    <x v="4"/>
    <x v="2"/>
    <n v="8518.4500000000007"/>
    <n v="13"/>
    <x v="3"/>
    <n v="2440.11"/>
    <n v="2517.6"/>
    <x v="1"/>
    <n v="0.23"/>
    <s v="Bank Transfer"/>
    <x v="1"/>
    <s v="North-Eve"/>
    <n v="32728.799999999999"/>
    <n v="31721.43"/>
    <n v="1007.369999999999"/>
  </r>
  <r>
    <n v="1053"/>
    <x v="273"/>
    <x v="2"/>
    <x v="1"/>
    <n v="8785.77"/>
    <n v="42"/>
    <x v="3"/>
    <n v="2443.5700000000002"/>
    <n v="2943.31"/>
    <x v="1"/>
    <n v="0.28999999999999998"/>
    <s v="Cash"/>
    <x v="0"/>
    <s v="West-David"/>
    <n v="123619.02"/>
    <n v="102629.94"/>
    <n v="20989.08"/>
  </r>
  <r>
    <n v="1081"/>
    <x v="250"/>
    <x v="0"/>
    <x v="3"/>
    <n v="9680.84"/>
    <n v="19"/>
    <x v="2"/>
    <n v="2443.69"/>
    <n v="2462.34"/>
    <x v="1"/>
    <n v="7.0000000000000007E-2"/>
    <s v="Bank Transfer"/>
    <x v="1"/>
    <s v="South-Bob"/>
    <n v="46784.460000000006"/>
    <n v="46430.11"/>
    <n v="354.35000000000582"/>
  </r>
  <r>
    <n v="1096"/>
    <x v="274"/>
    <x v="1"/>
    <x v="2"/>
    <n v="4821.3100000000004"/>
    <n v="48"/>
    <x v="0"/>
    <n v="2449.21"/>
    <n v="2714.12"/>
    <x v="1"/>
    <n v="0.01"/>
    <s v="Credit Card"/>
    <x v="0"/>
    <s v="North-Alice"/>
    <n v="130277.75999999999"/>
    <n v="117562.08"/>
    <n v="12715.679999999993"/>
  </r>
  <r>
    <n v="1056"/>
    <x v="14"/>
    <x v="2"/>
    <x v="1"/>
    <n v="8374.68"/>
    <n v="47"/>
    <x v="3"/>
    <n v="2461.6999999999998"/>
    <n v="2529.02"/>
    <x v="0"/>
    <n v="0.22"/>
    <s v="Cash"/>
    <x v="1"/>
    <s v="West-David"/>
    <n v="118863.94"/>
    <n v="115699.9"/>
    <n v="3164.0400000000081"/>
  </r>
  <r>
    <n v="1012"/>
    <x v="136"/>
    <x v="2"/>
    <x v="2"/>
    <n v="4384.88"/>
    <n v="34"/>
    <x v="3"/>
    <n v="2462.5500000000002"/>
    <n v="2521.77"/>
    <x v="1"/>
    <n v="0.21"/>
    <s v="Bank Transfer"/>
    <x v="1"/>
    <s v="North-David"/>
    <n v="85740.18"/>
    <n v="83726.700000000012"/>
    <n v="2013.4799999999814"/>
  </r>
  <r>
    <n v="1069"/>
    <x v="275"/>
    <x v="0"/>
    <x v="0"/>
    <n v="9369.18"/>
    <n v="29"/>
    <x v="3"/>
    <n v="2462.66"/>
    <n v="2908.0899999999901"/>
    <x v="1"/>
    <n v="0.12"/>
    <s v="Credit Card"/>
    <x v="0"/>
    <s v="East-Bob"/>
    <n v="84334.60999999971"/>
    <n v="71417.14"/>
    <n v="12917.46999999971"/>
  </r>
  <r>
    <n v="1032"/>
    <x v="150"/>
    <x v="1"/>
    <x v="1"/>
    <n v="4241.51"/>
    <n v="18"/>
    <x v="1"/>
    <n v="2466.1799999999998"/>
    <n v="2483.87"/>
    <x v="0"/>
    <n v="0.08"/>
    <s v="Cash"/>
    <x v="0"/>
    <s v="West-Alice"/>
    <n v="44709.659999999996"/>
    <n v="44391.24"/>
    <n v="318.41999999999825"/>
  </r>
  <r>
    <n v="1014"/>
    <x v="238"/>
    <x v="1"/>
    <x v="2"/>
    <n v="408.38"/>
    <n v="3"/>
    <x v="1"/>
    <n v="2468.29"/>
    <n v="2723.13"/>
    <x v="0"/>
    <n v="0.08"/>
    <s v="Cash"/>
    <x v="1"/>
    <s v="North-Alice"/>
    <n v="8169.39"/>
    <n v="7404.87"/>
    <n v="764.52000000000044"/>
  </r>
  <r>
    <n v="1099"/>
    <x v="276"/>
    <x v="0"/>
    <x v="0"/>
    <n v="3043.18"/>
    <n v="22"/>
    <x v="3"/>
    <n v="2471.67"/>
    <n v="2533.04"/>
    <x v="0"/>
    <n v="0.02"/>
    <s v="Bank Transfer"/>
    <x v="1"/>
    <s v="East-Bob"/>
    <n v="55726.879999999997"/>
    <n v="54376.740000000005"/>
    <n v="1350.1399999999921"/>
  </r>
  <r>
    <n v="1099"/>
    <x v="277"/>
    <x v="2"/>
    <x v="1"/>
    <n v="1934.18"/>
    <n v="17"/>
    <x v="2"/>
    <n v="2471.73"/>
    <n v="2568.73"/>
    <x v="1"/>
    <n v="0.05"/>
    <s v="Cash"/>
    <x v="1"/>
    <s v="West-David"/>
    <n v="43668.41"/>
    <n v="42019.41"/>
    <n v="1649"/>
  </r>
  <r>
    <n v="1069"/>
    <x v="197"/>
    <x v="0"/>
    <x v="2"/>
    <n v="7936.43"/>
    <n v="4"/>
    <x v="1"/>
    <n v="2485.86"/>
    <n v="2532.87"/>
    <x v="1"/>
    <n v="0.01"/>
    <s v="Credit Card"/>
    <x v="0"/>
    <s v="North-Bob"/>
    <n v="10131.48"/>
    <n v="9943.44"/>
    <n v="188.03999999999905"/>
  </r>
  <r>
    <n v="1062"/>
    <x v="77"/>
    <x v="0"/>
    <x v="2"/>
    <n v="2959.96"/>
    <n v="48"/>
    <x v="2"/>
    <n v="2487.19"/>
    <n v="2521.4499999999998"/>
    <x v="1"/>
    <n v="0.28999999999999998"/>
    <s v="Cash"/>
    <x v="0"/>
    <s v="North-Bob"/>
    <n v="121029.59999999999"/>
    <n v="119385.12"/>
    <n v="1644.4799999999959"/>
  </r>
  <r>
    <n v="1034"/>
    <x v="206"/>
    <x v="3"/>
    <x v="1"/>
    <n v="2184.02"/>
    <n v="7"/>
    <x v="1"/>
    <n v="2492.36"/>
    <n v="2738.68"/>
    <x v="0"/>
    <n v="0.11"/>
    <s v="Cash"/>
    <x v="0"/>
    <s v="West-Charlie"/>
    <n v="19170.759999999998"/>
    <n v="17446.52"/>
    <n v="1724.239999999998"/>
  </r>
  <r>
    <n v="1055"/>
    <x v="88"/>
    <x v="2"/>
    <x v="0"/>
    <n v="1756.83"/>
    <n v="11"/>
    <x v="1"/>
    <n v="2495.1999999999998"/>
    <n v="2600.9299999999998"/>
    <x v="1"/>
    <n v="0.21"/>
    <s v="Bank Transfer"/>
    <x v="1"/>
    <s v="East-David"/>
    <n v="28610.23"/>
    <n v="27447.199999999997"/>
    <n v="1163.0300000000025"/>
  </r>
  <r>
    <n v="1083"/>
    <x v="35"/>
    <x v="4"/>
    <x v="1"/>
    <n v="4902.4399999999996"/>
    <n v="42"/>
    <x v="0"/>
    <n v="2505.41"/>
    <n v="2638.96"/>
    <x v="1"/>
    <n v="0.1"/>
    <s v="Bank Transfer"/>
    <x v="0"/>
    <s v="West-Eve"/>
    <n v="110836.32"/>
    <n v="105227.22"/>
    <n v="5609.1000000000058"/>
  </r>
  <r>
    <n v="1030"/>
    <x v="62"/>
    <x v="1"/>
    <x v="2"/>
    <n v="9385.86"/>
    <n v="39"/>
    <x v="2"/>
    <n v="2511.2800000000002"/>
    <n v="2658.06"/>
    <x v="1"/>
    <n v="0.19"/>
    <s v="Credit Card"/>
    <x v="1"/>
    <s v="North-Alice"/>
    <n v="103664.34"/>
    <n v="97939.920000000013"/>
    <n v="5724.4199999999837"/>
  </r>
  <r>
    <n v="1027"/>
    <x v="278"/>
    <x v="4"/>
    <x v="3"/>
    <n v="3985.34"/>
    <n v="21"/>
    <x v="2"/>
    <n v="2511.41"/>
    <n v="2848.3999999999901"/>
    <x v="0"/>
    <n v="0.06"/>
    <s v="Bank Transfer"/>
    <x v="0"/>
    <s v="South-Eve"/>
    <n v="59816.39999999979"/>
    <n v="52739.61"/>
    <n v="7076.7899999997899"/>
  </r>
  <r>
    <n v="1036"/>
    <x v="41"/>
    <x v="2"/>
    <x v="0"/>
    <n v="8167.9"/>
    <n v="25"/>
    <x v="2"/>
    <n v="2520.9699999999998"/>
    <n v="2707.1099999999901"/>
    <x v="1"/>
    <n v="0.25"/>
    <s v="Cash"/>
    <x v="1"/>
    <s v="East-David"/>
    <n v="67677.749999999753"/>
    <n v="63024.249999999993"/>
    <n v="4653.4999999997599"/>
  </r>
  <r>
    <n v="1028"/>
    <x v="109"/>
    <x v="1"/>
    <x v="0"/>
    <n v="2819.57"/>
    <n v="24"/>
    <x v="0"/>
    <n v="2521.0300000000002"/>
    <n v="2766.05"/>
    <x v="0"/>
    <n v="0.16"/>
    <s v="Bank Transfer"/>
    <x v="1"/>
    <s v="East-Alice"/>
    <n v="66385.200000000012"/>
    <n v="60504.72"/>
    <n v="5880.4800000000105"/>
  </r>
  <r>
    <n v="1032"/>
    <x v="188"/>
    <x v="4"/>
    <x v="2"/>
    <n v="3312.67"/>
    <n v="6"/>
    <x v="0"/>
    <n v="2522.7600000000002"/>
    <n v="2840.14"/>
    <x v="0"/>
    <n v="7.0000000000000007E-2"/>
    <s v="Credit Card"/>
    <x v="1"/>
    <s v="North-Eve"/>
    <n v="17040.84"/>
    <n v="15136.560000000001"/>
    <n v="1904.2799999999988"/>
  </r>
  <r>
    <n v="1081"/>
    <x v="279"/>
    <x v="4"/>
    <x v="2"/>
    <n v="7001.64"/>
    <n v="16"/>
    <x v="0"/>
    <n v="2530.15"/>
    <n v="2568.13"/>
    <x v="1"/>
    <n v="0.01"/>
    <s v="Credit Card"/>
    <x v="0"/>
    <s v="North-Eve"/>
    <n v="41090.080000000002"/>
    <n v="40482.400000000001"/>
    <n v="607.68000000000029"/>
  </r>
  <r>
    <n v="1035"/>
    <x v="127"/>
    <x v="0"/>
    <x v="3"/>
    <n v="5343.63"/>
    <n v="9"/>
    <x v="0"/>
    <n v="2534.94"/>
    <n v="2755.56"/>
    <x v="0"/>
    <n v="0.13"/>
    <s v="Credit Card"/>
    <x v="1"/>
    <s v="South-Bob"/>
    <n v="24800.04"/>
    <n v="22814.46"/>
    <n v="1985.5800000000017"/>
  </r>
  <r>
    <n v="1022"/>
    <x v="42"/>
    <x v="3"/>
    <x v="3"/>
    <n v="8813.5499999999993"/>
    <n v="21"/>
    <x v="2"/>
    <n v="2537.1999999999998"/>
    <n v="2869.6"/>
    <x v="1"/>
    <n v="0.28999999999999998"/>
    <s v="Bank Transfer"/>
    <x v="1"/>
    <s v="South-Charlie"/>
    <n v="60261.599999999999"/>
    <n v="53281.2"/>
    <n v="6980.4000000000015"/>
  </r>
  <r>
    <n v="1055"/>
    <x v="280"/>
    <x v="3"/>
    <x v="1"/>
    <n v="7169.12"/>
    <n v="12"/>
    <x v="1"/>
    <n v="2538.61"/>
    <n v="2971.75"/>
    <x v="0"/>
    <n v="0.24"/>
    <s v="Cash"/>
    <x v="0"/>
    <s v="West-Charlie"/>
    <n v="35661"/>
    <n v="30463.32"/>
    <n v="5197.68"/>
  </r>
  <r>
    <n v="1007"/>
    <x v="281"/>
    <x v="4"/>
    <x v="1"/>
    <n v="4694.54"/>
    <n v="1"/>
    <x v="2"/>
    <n v="2543.2600000000002"/>
    <n v="2637.91"/>
    <x v="0"/>
    <n v="0.2"/>
    <s v="Credit Card"/>
    <x v="0"/>
    <s v="West-Eve"/>
    <n v="2637.91"/>
    <n v="2543.2600000000002"/>
    <n v="94.649999999999636"/>
  </r>
  <r>
    <n v="1038"/>
    <x v="282"/>
    <x v="0"/>
    <x v="3"/>
    <n v="1452.35"/>
    <n v="15"/>
    <x v="0"/>
    <n v="2543.36"/>
    <n v="2790.1"/>
    <x v="0"/>
    <n v="7.0000000000000007E-2"/>
    <s v="Cash"/>
    <x v="0"/>
    <s v="South-Bob"/>
    <n v="41851.5"/>
    <n v="38150.400000000001"/>
    <n v="3701.0999999999985"/>
  </r>
  <r>
    <n v="1046"/>
    <x v="283"/>
    <x v="1"/>
    <x v="3"/>
    <n v="3391.32"/>
    <n v="46"/>
    <x v="0"/>
    <n v="2551.56"/>
    <n v="2841.68"/>
    <x v="1"/>
    <n v="0.09"/>
    <s v="Bank Transfer"/>
    <x v="1"/>
    <s v="South-Alice"/>
    <n v="130717.28"/>
    <n v="117371.76"/>
    <n v="13345.520000000004"/>
  </r>
  <r>
    <n v="1073"/>
    <x v="208"/>
    <x v="1"/>
    <x v="1"/>
    <n v="1365.88"/>
    <n v="45"/>
    <x v="3"/>
    <n v="2558.09"/>
    <n v="2958.55"/>
    <x v="1"/>
    <n v="0.08"/>
    <s v="Cash"/>
    <x v="0"/>
    <s v="West-Alice"/>
    <n v="133134.75"/>
    <n v="115114.05"/>
    <n v="18020.699999999997"/>
  </r>
  <r>
    <n v="1092"/>
    <x v="145"/>
    <x v="1"/>
    <x v="3"/>
    <n v="1039.69"/>
    <n v="14"/>
    <x v="3"/>
    <n v="2559.65"/>
    <n v="2709.4"/>
    <x v="0"/>
    <n v="0.11"/>
    <s v="Credit Card"/>
    <x v="1"/>
    <s v="South-Alice"/>
    <n v="37931.599999999999"/>
    <n v="35835.1"/>
    <n v="2096.5"/>
  </r>
  <r>
    <n v="1086"/>
    <x v="284"/>
    <x v="2"/>
    <x v="2"/>
    <n v="7041.28"/>
    <n v="28"/>
    <x v="2"/>
    <n v="2564.35"/>
    <n v="2765.79"/>
    <x v="0"/>
    <n v="0.17"/>
    <s v="Credit Card"/>
    <x v="0"/>
    <s v="North-David"/>
    <n v="77442.12"/>
    <n v="71801.8"/>
    <n v="5640.3199999999924"/>
  </r>
  <r>
    <n v="1073"/>
    <x v="240"/>
    <x v="2"/>
    <x v="1"/>
    <n v="5238.42"/>
    <n v="40"/>
    <x v="3"/>
    <n v="2565.3000000000002"/>
    <n v="3007.47"/>
    <x v="0"/>
    <n v="0.17"/>
    <s v="Credit Card"/>
    <x v="1"/>
    <s v="West-David"/>
    <n v="120298.79999999999"/>
    <n v="102612"/>
    <n v="17686.799999999988"/>
  </r>
  <r>
    <n v="1075"/>
    <x v="153"/>
    <x v="3"/>
    <x v="2"/>
    <n v="9972.11"/>
    <n v="28"/>
    <x v="0"/>
    <n v="2570.2199999999998"/>
    <n v="2610.8399999999901"/>
    <x v="0"/>
    <n v="0.27"/>
    <s v="Bank Transfer"/>
    <x v="1"/>
    <s v="North-Charlie"/>
    <n v="73103.519999999728"/>
    <n v="71966.159999999989"/>
    <n v="1137.3599999997386"/>
  </r>
  <r>
    <n v="1029"/>
    <x v="265"/>
    <x v="4"/>
    <x v="0"/>
    <n v="4333.25"/>
    <n v="16"/>
    <x v="1"/>
    <n v="2572.8000000000002"/>
    <n v="2760.6"/>
    <x v="0"/>
    <n v="0.15"/>
    <s v="Credit Card"/>
    <x v="1"/>
    <s v="East-Eve"/>
    <n v="44169.599999999999"/>
    <n v="41164.800000000003"/>
    <n v="3004.7999999999956"/>
  </r>
  <r>
    <n v="1045"/>
    <x v="285"/>
    <x v="0"/>
    <x v="0"/>
    <n v="4594.5"/>
    <n v="46"/>
    <x v="2"/>
    <n v="2577.08"/>
    <n v="2961.56"/>
    <x v="0"/>
    <n v="0.1"/>
    <s v="Cash"/>
    <x v="0"/>
    <s v="East-Bob"/>
    <n v="136231.76"/>
    <n v="118545.68"/>
    <n v="17686.080000000016"/>
  </r>
  <r>
    <n v="1066"/>
    <x v="286"/>
    <x v="3"/>
    <x v="2"/>
    <n v="6380.2"/>
    <n v="15"/>
    <x v="3"/>
    <n v="2579.31"/>
    <n v="2867.36"/>
    <x v="0"/>
    <n v="0.04"/>
    <s v="Bank Transfer"/>
    <x v="1"/>
    <s v="North-Charlie"/>
    <n v="43010.400000000001"/>
    <n v="38689.65"/>
    <n v="4320.75"/>
  </r>
  <r>
    <n v="1066"/>
    <x v="33"/>
    <x v="1"/>
    <x v="2"/>
    <n v="6264.04"/>
    <n v="48"/>
    <x v="0"/>
    <n v="2588.54"/>
    <n v="2872.8"/>
    <x v="1"/>
    <n v="0.17"/>
    <s v="Cash"/>
    <x v="0"/>
    <s v="North-Alice"/>
    <n v="137894.40000000002"/>
    <n v="124249.92"/>
    <n v="13644.480000000025"/>
  </r>
  <r>
    <n v="1036"/>
    <x v="287"/>
    <x v="0"/>
    <x v="2"/>
    <n v="6116.75"/>
    <n v="7"/>
    <x v="0"/>
    <n v="2588.67"/>
    <n v="2847.76"/>
    <x v="1"/>
    <n v="0.22"/>
    <s v="Cash"/>
    <x v="1"/>
    <s v="North-Bob"/>
    <n v="19934.32"/>
    <n v="18120.690000000002"/>
    <n v="1813.6299999999974"/>
  </r>
  <r>
    <n v="1030"/>
    <x v="168"/>
    <x v="2"/>
    <x v="0"/>
    <n v="236.08"/>
    <n v="49"/>
    <x v="3"/>
    <n v="2590.29"/>
    <n v="2925.86"/>
    <x v="0"/>
    <n v="0.26"/>
    <s v="Cash"/>
    <x v="1"/>
    <s v="East-David"/>
    <n v="143367.14000000001"/>
    <n v="126924.20999999999"/>
    <n v="16442.930000000022"/>
  </r>
  <r>
    <n v="1019"/>
    <x v="108"/>
    <x v="3"/>
    <x v="1"/>
    <n v="6705.4"/>
    <n v="45"/>
    <x v="0"/>
    <n v="2590.64"/>
    <n v="3036.18"/>
    <x v="1"/>
    <n v="0.05"/>
    <s v="Bank Transfer"/>
    <x v="1"/>
    <s v="West-Charlie"/>
    <n v="136628.1"/>
    <n v="116578.79999999999"/>
    <n v="20049.300000000017"/>
  </r>
  <r>
    <n v="1093"/>
    <x v="209"/>
    <x v="4"/>
    <x v="0"/>
    <n v="1697.49"/>
    <n v="22"/>
    <x v="1"/>
    <n v="2593.64"/>
    <n v="2955.5099999999902"/>
    <x v="0"/>
    <n v="0"/>
    <s v="Bank Transfer"/>
    <x v="1"/>
    <s v="East-Eve"/>
    <n v="65021.219999999783"/>
    <n v="57060.079999999994"/>
    <n v="7961.1399999997884"/>
  </r>
  <r>
    <n v="1037"/>
    <x v="173"/>
    <x v="0"/>
    <x v="2"/>
    <n v="6351.05"/>
    <n v="32"/>
    <x v="1"/>
    <n v="2594.08"/>
    <n v="3074.59"/>
    <x v="1"/>
    <n v="0.14000000000000001"/>
    <s v="Cash"/>
    <x v="1"/>
    <s v="North-Bob"/>
    <n v="98386.880000000005"/>
    <n v="83010.559999999998"/>
    <n v="15376.320000000007"/>
  </r>
  <r>
    <n v="1017"/>
    <x v="21"/>
    <x v="4"/>
    <x v="2"/>
    <n v="289.52999999999997"/>
    <n v="6"/>
    <x v="3"/>
    <n v="2594.42"/>
    <n v="3081.04"/>
    <x v="0"/>
    <n v="0.1"/>
    <s v="Bank Transfer"/>
    <x v="1"/>
    <s v="North-Eve"/>
    <n v="18486.239999999998"/>
    <n v="15566.52"/>
    <n v="2919.7199999999975"/>
  </r>
  <r>
    <n v="1061"/>
    <x v="62"/>
    <x v="0"/>
    <x v="3"/>
    <n v="6321.42"/>
    <n v="11"/>
    <x v="0"/>
    <n v="2594.71"/>
    <n v="2769.52"/>
    <x v="0"/>
    <n v="0.01"/>
    <s v="Bank Transfer"/>
    <x v="1"/>
    <s v="South-Bob"/>
    <n v="30464.720000000001"/>
    <n v="28541.81"/>
    <n v="1922.9099999999999"/>
  </r>
  <r>
    <n v="1092"/>
    <x v="288"/>
    <x v="4"/>
    <x v="0"/>
    <n v="7667.1"/>
    <n v="33"/>
    <x v="1"/>
    <n v="2595.42"/>
    <n v="3083.06"/>
    <x v="1"/>
    <n v="0.08"/>
    <s v="Credit Card"/>
    <x v="0"/>
    <s v="East-Eve"/>
    <n v="101740.98"/>
    <n v="85648.86"/>
    <n v="16092.119999999995"/>
  </r>
  <r>
    <n v="1058"/>
    <x v="289"/>
    <x v="4"/>
    <x v="2"/>
    <n v="252.41"/>
    <n v="48"/>
    <x v="3"/>
    <n v="2596.7199999999998"/>
    <n v="2715.0499999999902"/>
    <x v="0"/>
    <n v="0.04"/>
    <s v="Cash"/>
    <x v="0"/>
    <s v="North-Eve"/>
    <n v="130322.39999999953"/>
    <n v="124642.56"/>
    <n v="5679.8399999995308"/>
  </r>
  <r>
    <n v="1051"/>
    <x v="33"/>
    <x v="2"/>
    <x v="3"/>
    <n v="5785.45"/>
    <n v="23"/>
    <x v="3"/>
    <n v="2598.1799999999998"/>
    <n v="3042.73"/>
    <x v="0"/>
    <n v="0.24"/>
    <s v="Credit Card"/>
    <x v="0"/>
    <s v="South-David"/>
    <n v="69982.789999999994"/>
    <n v="59758.14"/>
    <n v="10224.649999999994"/>
  </r>
  <r>
    <n v="1033"/>
    <x v="137"/>
    <x v="2"/>
    <x v="2"/>
    <n v="349.41"/>
    <n v="37"/>
    <x v="1"/>
    <n v="2600.7600000000002"/>
    <n v="2937.57"/>
    <x v="1"/>
    <n v="0.17"/>
    <s v="Credit Card"/>
    <x v="1"/>
    <s v="North-David"/>
    <n v="108690.09000000001"/>
    <n v="96228.12000000001"/>
    <n v="12461.970000000001"/>
  </r>
  <r>
    <n v="1001"/>
    <x v="290"/>
    <x v="2"/>
    <x v="1"/>
    <n v="3780.07"/>
    <n v="18"/>
    <x v="3"/>
    <n v="2602.6"/>
    <n v="3013.49"/>
    <x v="0"/>
    <n v="0.08"/>
    <s v="Bank Transfer"/>
    <x v="0"/>
    <s v="West-David"/>
    <n v="54242.819999999992"/>
    <n v="46846.799999999996"/>
    <n v="7396.0199999999968"/>
  </r>
  <r>
    <n v="1038"/>
    <x v="291"/>
    <x v="0"/>
    <x v="3"/>
    <n v="8630.74"/>
    <n v="20"/>
    <x v="0"/>
    <n v="2607.31"/>
    <n v="2774.86"/>
    <x v="1"/>
    <n v="0.27"/>
    <s v="Credit Card"/>
    <x v="1"/>
    <s v="South-Bob"/>
    <n v="55497.200000000004"/>
    <n v="52146.2"/>
    <n v="3351.0000000000073"/>
  </r>
  <r>
    <n v="1099"/>
    <x v="253"/>
    <x v="2"/>
    <x v="0"/>
    <n v="8090"/>
    <n v="35"/>
    <x v="0"/>
    <n v="2610.19"/>
    <n v="2682.53"/>
    <x v="1"/>
    <n v="0.14000000000000001"/>
    <s v="Cash"/>
    <x v="1"/>
    <s v="East-David"/>
    <n v="93888.55"/>
    <n v="91356.650000000009"/>
    <n v="2531.8999999999942"/>
  </r>
  <r>
    <n v="1074"/>
    <x v="88"/>
    <x v="4"/>
    <x v="1"/>
    <n v="7499.7"/>
    <n v="38"/>
    <x v="2"/>
    <n v="2610.6"/>
    <n v="2836.94"/>
    <x v="0"/>
    <n v="0.19"/>
    <s v="Credit Card"/>
    <x v="0"/>
    <s v="West-Eve"/>
    <n v="107803.72"/>
    <n v="99202.8"/>
    <n v="8600.9199999999983"/>
  </r>
  <r>
    <n v="1058"/>
    <x v="51"/>
    <x v="4"/>
    <x v="1"/>
    <n v="2896.54"/>
    <n v="48"/>
    <x v="0"/>
    <n v="2614.48"/>
    <n v="3049.04"/>
    <x v="1"/>
    <n v="0.1"/>
    <s v="Credit Card"/>
    <x v="1"/>
    <s v="West-Eve"/>
    <n v="146353.91999999998"/>
    <n v="125495.04000000001"/>
    <n v="20858.879999999976"/>
  </r>
  <r>
    <n v="1039"/>
    <x v="292"/>
    <x v="1"/>
    <x v="0"/>
    <n v="5830.19"/>
    <n v="24"/>
    <x v="0"/>
    <n v="2615.48"/>
    <n v="3062.22"/>
    <x v="1"/>
    <n v="0.19"/>
    <s v="Bank Transfer"/>
    <x v="1"/>
    <s v="East-Alice"/>
    <n v="73493.279999999999"/>
    <n v="62771.520000000004"/>
    <n v="10721.759999999995"/>
  </r>
  <r>
    <n v="1067"/>
    <x v="256"/>
    <x v="0"/>
    <x v="2"/>
    <n v="3133.99"/>
    <n v="49"/>
    <x v="3"/>
    <n v="2628.38"/>
    <n v="2644.54"/>
    <x v="0"/>
    <n v="0.11"/>
    <s v="Cash"/>
    <x v="0"/>
    <s v="North-Bob"/>
    <n v="129582.45999999999"/>
    <n v="128790.62000000001"/>
    <n v="791.83999999998196"/>
  </r>
  <r>
    <n v="1001"/>
    <x v="122"/>
    <x v="2"/>
    <x v="0"/>
    <n v="5488.11"/>
    <n v="2"/>
    <x v="1"/>
    <n v="2631.68"/>
    <n v="2904.06"/>
    <x v="1"/>
    <n v="0.15"/>
    <s v="Bank Transfer"/>
    <x v="0"/>
    <s v="East-David"/>
    <n v="5808.12"/>
    <n v="5263.36"/>
    <n v="544.76000000000022"/>
  </r>
  <r>
    <n v="1086"/>
    <x v="69"/>
    <x v="1"/>
    <x v="0"/>
    <n v="4923.93"/>
    <n v="48"/>
    <x v="2"/>
    <n v="2632.58"/>
    <n v="2926.68"/>
    <x v="0"/>
    <n v="0.14000000000000001"/>
    <s v="Cash"/>
    <x v="0"/>
    <s v="East-Alice"/>
    <n v="140480.63999999998"/>
    <n v="126363.84"/>
    <n v="14116.799999999988"/>
  </r>
  <r>
    <n v="1076"/>
    <x v="89"/>
    <x v="0"/>
    <x v="1"/>
    <n v="2607.4"/>
    <n v="32"/>
    <x v="2"/>
    <n v="2636.36"/>
    <n v="2696.78"/>
    <x v="1"/>
    <n v="0.09"/>
    <s v="Cash"/>
    <x v="1"/>
    <s v="West-Bob"/>
    <n v="86296.960000000006"/>
    <n v="84363.520000000004"/>
    <n v="1933.4400000000023"/>
  </r>
  <r>
    <n v="1015"/>
    <x v="222"/>
    <x v="3"/>
    <x v="0"/>
    <n v="2669.81"/>
    <n v="23"/>
    <x v="1"/>
    <n v="2644.77"/>
    <n v="2684.83"/>
    <x v="1"/>
    <n v="0.24"/>
    <s v="Cash"/>
    <x v="0"/>
    <s v="East-Charlie"/>
    <n v="61751.09"/>
    <n v="60829.71"/>
    <n v="921.37999999999738"/>
  </r>
  <r>
    <n v="1095"/>
    <x v="293"/>
    <x v="3"/>
    <x v="0"/>
    <n v="5873.59"/>
    <n v="9"/>
    <x v="2"/>
    <n v="2650.95"/>
    <n v="2860.4199999999901"/>
    <x v="1"/>
    <n v="0.12"/>
    <s v="Cash"/>
    <x v="1"/>
    <s v="East-Charlie"/>
    <n v="25743.779999999912"/>
    <n v="23858.55"/>
    <n v="1885.2299999999123"/>
  </r>
  <r>
    <n v="1054"/>
    <x v="233"/>
    <x v="4"/>
    <x v="3"/>
    <n v="4634.16"/>
    <n v="40"/>
    <x v="3"/>
    <n v="2654.11"/>
    <n v="2929.32"/>
    <x v="0"/>
    <n v="0.08"/>
    <s v="Cash"/>
    <x v="0"/>
    <s v="South-Eve"/>
    <n v="117172.8"/>
    <n v="106164.40000000001"/>
    <n v="11008.399999999994"/>
  </r>
  <r>
    <n v="1073"/>
    <x v="19"/>
    <x v="2"/>
    <x v="3"/>
    <n v="7026.43"/>
    <n v="48"/>
    <x v="0"/>
    <n v="2658.9"/>
    <n v="2838.27"/>
    <x v="1"/>
    <n v="0.25"/>
    <s v="Credit Card"/>
    <x v="0"/>
    <s v="South-David"/>
    <n v="136236.96"/>
    <n v="127627.20000000001"/>
    <n v="8609.7599999999802"/>
  </r>
  <r>
    <n v="1090"/>
    <x v="113"/>
    <x v="1"/>
    <x v="1"/>
    <n v="267.77999999999997"/>
    <n v="32"/>
    <x v="1"/>
    <n v="2678.99"/>
    <n v="3152.2799999999902"/>
    <x v="0"/>
    <n v="0.22"/>
    <s v="Cash"/>
    <x v="1"/>
    <s v="West-Alice"/>
    <n v="100872.95999999969"/>
    <n v="85727.679999999993"/>
    <n v="15145.279999999693"/>
  </r>
  <r>
    <n v="1015"/>
    <x v="79"/>
    <x v="2"/>
    <x v="3"/>
    <n v="6699.34"/>
    <n v="30"/>
    <x v="2"/>
    <n v="2680.22"/>
    <n v="3027.9199999999901"/>
    <x v="0"/>
    <n v="0.25"/>
    <s v="Bank Transfer"/>
    <x v="0"/>
    <s v="South-David"/>
    <n v="90837.5999999997"/>
    <n v="80406.599999999991"/>
    <n v="10430.999999999709"/>
  </r>
  <r>
    <n v="1061"/>
    <x v="294"/>
    <x v="1"/>
    <x v="0"/>
    <n v="8915.0499999999993"/>
    <n v="34"/>
    <x v="0"/>
    <n v="2680.82"/>
    <n v="2771.02"/>
    <x v="1"/>
    <n v="0.2"/>
    <s v="Bank Transfer"/>
    <x v="0"/>
    <s v="East-Alice"/>
    <n v="94214.68"/>
    <n v="91147.88"/>
    <n v="3066.7999999999884"/>
  </r>
  <r>
    <n v="1092"/>
    <x v="178"/>
    <x v="0"/>
    <x v="3"/>
    <n v="8936.33"/>
    <n v="13"/>
    <x v="0"/>
    <n v="2684.5"/>
    <n v="2913.78"/>
    <x v="1"/>
    <n v="0.08"/>
    <s v="Credit Card"/>
    <x v="1"/>
    <s v="South-Bob"/>
    <n v="37879.14"/>
    <n v="34898.5"/>
    <n v="2980.6399999999994"/>
  </r>
  <r>
    <n v="1008"/>
    <x v="73"/>
    <x v="2"/>
    <x v="3"/>
    <n v="4432.8500000000004"/>
    <n v="40"/>
    <x v="0"/>
    <n v="2687.49"/>
    <n v="3001.56"/>
    <x v="0"/>
    <n v="0.26"/>
    <s v="Bank Transfer"/>
    <x v="0"/>
    <s v="South-David"/>
    <n v="120062.39999999999"/>
    <n v="107499.59999999999"/>
    <n v="12562.800000000003"/>
  </r>
  <r>
    <n v="1024"/>
    <x v="189"/>
    <x v="0"/>
    <x v="3"/>
    <n v="3334.75"/>
    <n v="45"/>
    <x v="0"/>
    <n v="2693.99"/>
    <n v="3045.9399999999901"/>
    <x v="1"/>
    <n v="0.01"/>
    <s v="Cash"/>
    <x v="1"/>
    <s v="South-Bob"/>
    <n v="137067.29999999955"/>
    <n v="121229.54999999999"/>
    <n v="15837.749999999563"/>
  </r>
  <r>
    <n v="1071"/>
    <x v="265"/>
    <x v="1"/>
    <x v="1"/>
    <n v="189.48"/>
    <n v="22"/>
    <x v="1"/>
    <n v="2701.39"/>
    <n v="3185.81"/>
    <x v="1"/>
    <n v="0.01"/>
    <s v="Bank Transfer"/>
    <x v="0"/>
    <s v="West-Alice"/>
    <n v="70087.819999999992"/>
    <n v="59430.579999999994"/>
    <n v="10657.239999999998"/>
  </r>
  <r>
    <n v="1058"/>
    <x v="107"/>
    <x v="4"/>
    <x v="0"/>
    <n v="9580.0499999999993"/>
    <n v="14"/>
    <x v="1"/>
    <n v="2703.97"/>
    <n v="2796.8799999999901"/>
    <x v="1"/>
    <n v="0.13"/>
    <s v="Bank Transfer"/>
    <x v="0"/>
    <s v="East-Eve"/>
    <n v="39156.319999999861"/>
    <n v="37855.579999999994"/>
    <n v="1300.739999999867"/>
  </r>
  <r>
    <n v="1038"/>
    <x v="98"/>
    <x v="2"/>
    <x v="1"/>
    <n v="8020.03"/>
    <n v="31"/>
    <x v="0"/>
    <n v="2709.84"/>
    <n v="2766.51"/>
    <x v="1"/>
    <n v="0.19"/>
    <s v="Cash"/>
    <x v="1"/>
    <s v="West-David"/>
    <n v="85761.810000000012"/>
    <n v="84005.040000000008"/>
    <n v="1756.7700000000041"/>
  </r>
  <r>
    <n v="1029"/>
    <x v="174"/>
    <x v="3"/>
    <x v="2"/>
    <n v="6275.06"/>
    <n v="31"/>
    <x v="1"/>
    <n v="2719"/>
    <n v="3133.55"/>
    <x v="0"/>
    <n v="0.17"/>
    <s v="Bank Transfer"/>
    <x v="1"/>
    <s v="North-Charlie"/>
    <n v="97140.05"/>
    <n v="84289"/>
    <n v="12851.050000000003"/>
  </r>
  <r>
    <n v="1034"/>
    <x v="246"/>
    <x v="0"/>
    <x v="0"/>
    <n v="414.26"/>
    <n v="38"/>
    <x v="2"/>
    <n v="2729.75"/>
    <n v="3081.5"/>
    <x v="1"/>
    <n v="0.01"/>
    <s v="Bank Transfer"/>
    <x v="0"/>
    <s v="East-Bob"/>
    <n v="117097"/>
    <n v="103730.5"/>
    <n v="13366.5"/>
  </r>
  <r>
    <n v="1039"/>
    <x v="121"/>
    <x v="4"/>
    <x v="2"/>
    <n v="6076.01"/>
    <n v="35"/>
    <x v="3"/>
    <n v="2735.74"/>
    <n v="3181.22999999999"/>
    <x v="1"/>
    <n v="0.1"/>
    <s v="Credit Card"/>
    <x v="1"/>
    <s v="North-Eve"/>
    <n v="111343.04999999965"/>
    <n v="95750.9"/>
    <n v="15592.149999999659"/>
  </r>
  <r>
    <n v="1080"/>
    <x v="118"/>
    <x v="0"/>
    <x v="1"/>
    <n v="1493.95"/>
    <n v="17"/>
    <x v="3"/>
    <n v="2742.67"/>
    <n v="2979.64"/>
    <x v="0"/>
    <n v="0.01"/>
    <s v="Cash"/>
    <x v="1"/>
    <s v="West-Bob"/>
    <n v="50653.88"/>
    <n v="46625.39"/>
    <n v="4028.489999999998"/>
  </r>
  <r>
    <n v="1001"/>
    <x v="295"/>
    <x v="4"/>
    <x v="3"/>
    <n v="2669.46"/>
    <n v="35"/>
    <x v="1"/>
    <n v="2745.75"/>
    <n v="3244.76"/>
    <x v="1"/>
    <n v="0.05"/>
    <s v="Bank Transfer"/>
    <x v="0"/>
    <s v="South-Eve"/>
    <n v="113566.6"/>
    <n v="96101.25"/>
    <n v="17465.350000000006"/>
  </r>
  <r>
    <n v="1061"/>
    <x v="39"/>
    <x v="3"/>
    <x v="3"/>
    <n v="9895.57"/>
    <n v="25"/>
    <x v="2"/>
    <n v="2747.66"/>
    <n v="3027.0099999999902"/>
    <x v="1"/>
    <n v="0.23"/>
    <s v="Cash"/>
    <x v="0"/>
    <s v="South-Charlie"/>
    <n v="75675.249999999753"/>
    <n v="68691.5"/>
    <n v="6983.7499999997526"/>
  </r>
  <r>
    <n v="1040"/>
    <x v="278"/>
    <x v="3"/>
    <x v="0"/>
    <n v="2331.27"/>
    <n v="13"/>
    <x v="0"/>
    <n v="2750.18"/>
    <n v="2882.85"/>
    <x v="0"/>
    <n v="0.24"/>
    <s v="Credit Card"/>
    <x v="0"/>
    <s v="East-Charlie"/>
    <n v="37477.049999999996"/>
    <n v="35752.339999999997"/>
    <n v="1724.7099999999991"/>
  </r>
  <r>
    <n v="1025"/>
    <x v="296"/>
    <x v="2"/>
    <x v="1"/>
    <n v="4929.5600000000004"/>
    <n v="4"/>
    <x v="3"/>
    <n v="2751.06"/>
    <n v="2976.0099999999902"/>
    <x v="0"/>
    <n v="0.28000000000000003"/>
    <s v="Credit Card"/>
    <x v="0"/>
    <s v="West-David"/>
    <n v="11904.039999999961"/>
    <n v="11004.24"/>
    <n v="899.79999999996107"/>
  </r>
  <r>
    <n v="1013"/>
    <x v="297"/>
    <x v="4"/>
    <x v="0"/>
    <n v="4791.82"/>
    <n v="31"/>
    <x v="2"/>
    <n v="2757.06"/>
    <n v="3023.97"/>
    <x v="0"/>
    <n v="0.21"/>
    <s v="Cash"/>
    <x v="0"/>
    <s v="East-Eve"/>
    <n v="93743.069999999992"/>
    <n v="85468.86"/>
    <n v="8274.2099999999919"/>
  </r>
  <r>
    <n v="1076"/>
    <x v="294"/>
    <x v="3"/>
    <x v="3"/>
    <n v="316.94"/>
    <n v="23"/>
    <x v="2"/>
    <n v="2759.16"/>
    <n v="2864.45"/>
    <x v="0"/>
    <n v="0.18"/>
    <s v="Credit Card"/>
    <x v="1"/>
    <s v="South-Charlie"/>
    <n v="65882.349999999991"/>
    <n v="63460.679999999993"/>
    <n v="2421.6699999999983"/>
  </r>
  <r>
    <n v="1061"/>
    <x v="89"/>
    <x v="1"/>
    <x v="2"/>
    <n v="3867.13"/>
    <n v="32"/>
    <x v="2"/>
    <n v="2759.26"/>
    <n v="3193.25"/>
    <x v="1"/>
    <n v="0.2"/>
    <s v="Bank Transfer"/>
    <x v="0"/>
    <s v="North-Alice"/>
    <n v="102184"/>
    <n v="88296.320000000007"/>
    <n v="13887.679999999993"/>
  </r>
  <r>
    <n v="1069"/>
    <x v="298"/>
    <x v="4"/>
    <x v="2"/>
    <n v="2726.73"/>
    <n v="18"/>
    <x v="3"/>
    <n v="2760.21"/>
    <n v="3219.58"/>
    <x v="1"/>
    <n v="0.27"/>
    <s v="Bank Transfer"/>
    <x v="1"/>
    <s v="North-Eve"/>
    <n v="57952.44"/>
    <n v="49683.78"/>
    <n v="8268.6600000000035"/>
  </r>
  <r>
    <n v="1096"/>
    <x v="63"/>
    <x v="0"/>
    <x v="3"/>
    <n v="8718.2199999999993"/>
    <n v="17"/>
    <x v="2"/>
    <n v="2774.24"/>
    <n v="3069.9399999999901"/>
    <x v="0"/>
    <n v="0.23"/>
    <s v="Bank Transfer"/>
    <x v="1"/>
    <s v="South-Bob"/>
    <n v="52188.979999999829"/>
    <n v="47162.079999999994"/>
    <n v="5026.8999999998341"/>
  </r>
  <r>
    <n v="1081"/>
    <x v="117"/>
    <x v="2"/>
    <x v="0"/>
    <n v="3068.03"/>
    <n v="41"/>
    <x v="3"/>
    <n v="2782.08"/>
    <n v="2879.24"/>
    <x v="1"/>
    <n v="0.21"/>
    <s v="Bank Transfer"/>
    <x v="0"/>
    <s v="East-David"/>
    <n v="118048.84"/>
    <n v="114065.28"/>
    <n v="3983.5599999999977"/>
  </r>
  <r>
    <n v="1037"/>
    <x v="158"/>
    <x v="0"/>
    <x v="2"/>
    <n v="9813.81"/>
    <n v="40"/>
    <x v="0"/>
    <n v="2790.11"/>
    <n v="3192.37"/>
    <x v="0"/>
    <n v="0.26"/>
    <s v="Bank Transfer"/>
    <x v="0"/>
    <s v="North-Bob"/>
    <n v="127694.79999999999"/>
    <n v="111604.40000000001"/>
    <n v="16090.39999999998"/>
  </r>
  <r>
    <n v="1092"/>
    <x v="199"/>
    <x v="2"/>
    <x v="0"/>
    <n v="862.02"/>
    <n v="21"/>
    <x v="0"/>
    <n v="2792.2"/>
    <n v="3254.5499999999902"/>
    <x v="1"/>
    <n v="0.02"/>
    <s v="Credit Card"/>
    <x v="1"/>
    <s v="East-David"/>
    <n v="68345.549999999799"/>
    <n v="58636.2"/>
    <n v="9709.3499999998021"/>
  </r>
  <r>
    <n v="1009"/>
    <x v="295"/>
    <x v="2"/>
    <x v="1"/>
    <n v="2584.91"/>
    <n v="40"/>
    <x v="3"/>
    <n v="2799.71"/>
    <n v="3231.08"/>
    <x v="0"/>
    <n v="0.28999999999999998"/>
    <s v="Credit Card"/>
    <x v="1"/>
    <s v="West-David"/>
    <n v="129243.2"/>
    <n v="111988.4"/>
    <n v="17254.800000000003"/>
  </r>
  <r>
    <n v="1071"/>
    <x v="299"/>
    <x v="4"/>
    <x v="1"/>
    <n v="3003.76"/>
    <n v="6"/>
    <x v="3"/>
    <n v="2831.23"/>
    <n v="3206.98"/>
    <x v="0"/>
    <n v="0.06"/>
    <s v="Bank Transfer"/>
    <x v="1"/>
    <s v="West-Eve"/>
    <n v="19241.88"/>
    <n v="16987.38"/>
    <n v="2254.5"/>
  </r>
  <r>
    <n v="1067"/>
    <x v="138"/>
    <x v="0"/>
    <x v="0"/>
    <n v="8963.93"/>
    <n v="17"/>
    <x v="2"/>
    <n v="2831.58"/>
    <n v="3186.15"/>
    <x v="1"/>
    <n v="0.24"/>
    <s v="Bank Transfer"/>
    <x v="1"/>
    <s v="East-Bob"/>
    <n v="54164.55"/>
    <n v="48136.86"/>
    <n v="6027.6900000000023"/>
  </r>
  <r>
    <n v="1006"/>
    <x v="198"/>
    <x v="0"/>
    <x v="2"/>
    <n v="8995.75"/>
    <n v="49"/>
    <x v="2"/>
    <n v="2843.76"/>
    <n v="3146.6"/>
    <x v="1"/>
    <n v="0.08"/>
    <s v="Cash"/>
    <x v="1"/>
    <s v="North-Bob"/>
    <n v="154183.4"/>
    <n v="139344.24000000002"/>
    <n v="14839.159999999974"/>
  </r>
  <r>
    <n v="1036"/>
    <x v="105"/>
    <x v="0"/>
    <x v="1"/>
    <n v="7316.91"/>
    <n v="19"/>
    <x v="3"/>
    <n v="2844.97"/>
    <n v="3215"/>
    <x v="0"/>
    <n v="0.09"/>
    <s v="Credit Card"/>
    <x v="1"/>
    <s v="West-Bob"/>
    <n v="61085"/>
    <n v="54054.429999999993"/>
    <n v="7030.570000000007"/>
  </r>
  <r>
    <n v="1016"/>
    <x v="174"/>
    <x v="4"/>
    <x v="1"/>
    <n v="4598.0200000000004"/>
    <n v="21"/>
    <x v="1"/>
    <n v="2863.74"/>
    <n v="2953.91"/>
    <x v="1"/>
    <n v="0.1"/>
    <s v="Bank Transfer"/>
    <x v="1"/>
    <s v="West-Eve"/>
    <n v="62032.11"/>
    <n v="60138.539999999994"/>
    <n v="1893.570000000007"/>
  </r>
  <r>
    <n v="1019"/>
    <x v="300"/>
    <x v="4"/>
    <x v="3"/>
    <n v="2030.25"/>
    <n v="32"/>
    <x v="1"/>
    <n v="2866.47"/>
    <n v="3286.47"/>
    <x v="1"/>
    <n v="0.09"/>
    <s v="Credit Card"/>
    <x v="0"/>
    <s v="South-Eve"/>
    <n v="105167.03999999999"/>
    <n v="91727.039999999994"/>
    <n v="13440"/>
  </r>
  <r>
    <n v="1074"/>
    <x v="215"/>
    <x v="0"/>
    <x v="0"/>
    <n v="6011.84"/>
    <n v="2"/>
    <x v="2"/>
    <n v="2868.02"/>
    <n v="2994.74"/>
    <x v="0"/>
    <n v="0.18"/>
    <s v="Bank Transfer"/>
    <x v="0"/>
    <s v="East-Bob"/>
    <n v="5989.48"/>
    <n v="5736.04"/>
    <n v="253.4399999999996"/>
  </r>
  <r>
    <n v="1002"/>
    <x v="84"/>
    <x v="1"/>
    <x v="3"/>
    <n v="8302.7000000000007"/>
    <n v="16"/>
    <x v="3"/>
    <n v="2872.4"/>
    <n v="3193.76"/>
    <x v="0"/>
    <n v="0.04"/>
    <s v="Credit Card"/>
    <x v="0"/>
    <s v="South-Alice"/>
    <n v="51100.160000000003"/>
    <n v="45958.400000000001"/>
    <n v="5141.760000000002"/>
  </r>
  <r>
    <n v="1029"/>
    <x v="243"/>
    <x v="2"/>
    <x v="0"/>
    <n v="6773.89"/>
    <n v="28"/>
    <x v="0"/>
    <n v="2873.53"/>
    <n v="3108.3"/>
    <x v="1"/>
    <n v="0.15"/>
    <s v="Credit Card"/>
    <x v="1"/>
    <s v="East-David"/>
    <n v="87032.400000000009"/>
    <n v="80458.840000000011"/>
    <n v="6573.5599999999977"/>
  </r>
  <r>
    <n v="1036"/>
    <x v="173"/>
    <x v="2"/>
    <x v="2"/>
    <n v="9989.0400000000009"/>
    <n v="7"/>
    <x v="2"/>
    <n v="2882.25"/>
    <n v="3163.7"/>
    <x v="0"/>
    <n v="0.05"/>
    <s v="Cash"/>
    <x v="1"/>
    <s v="North-David"/>
    <n v="22145.899999999998"/>
    <n v="20175.75"/>
    <n v="1970.1499999999978"/>
  </r>
  <r>
    <n v="1069"/>
    <x v="67"/>
    <x v="2"/>
    <x v="2"/>
    <n v="6521.53"/>
    <n v="35"/>
    <x v="1"/>
    <n v="2885.16"/>
    <n v="3224.8399999999901"/>
    <x v="1"/>
    <n v="0.14000000000000001"/>
    <s v="Cash"/>
    <x v="0"/>
    <s v="North-David"/>
    <n v="112869.39999999966"/>
    <n v="100980.59999999999"/>
    <n v="11888.799999999668"/>
  </r>
  <r>
    <n v="1047"/>
    <x v="301"/>
    <x v="2"/>
    <x v="2"/>
    <n v="1910.09"/>
    <n v="41"/>
    <x v="0"/>
    <n v="2888.49"/>
    <n v="2929.45"/>
    <x v="1"/>
    <n v="0.06"/>
    <s v="Cash"/>
    <x v="1"/>
    <s v="North-David"/>
    <n v="120107.45"/>
    <n v="118428.09"/>
    <n v="1679.3600000000006"/>
  </r>
  <r>
    <n v="1084"/>
    <x v="275"/>
    <x v="4"/>
    <x v="3"/>
    <n v="3617.67"/>
    <n v="40"/>
    <x v="2"/>
    <n v="2890.95"/>
    <n v="3104.43"/>
    <x v="1"/>
    <n v="0.21"/>
    <s v="Bank Transfer"/>
    <x v="0"/>
    <s v="South-Eve"/>
    <n v="124177.2"/>
    <n v="115638"/>
    <n v="8539.1999999999971"/>
  </r>
  <r>
    <n v="1061"/>
    <x v="79"/>
    <x v="0"/>
    <x v="3"/>
    <n v="7277.56"/>
    <n v="41"/>
    <x v="3"/>
    <n v="2894.18"/>
    <n v="3193.92"/>
    <x v="1"/>
    <n v="0.28000000000000003"/>
    <s v="Bank Transfer"/>
    <x v="1"/>
    <s v="South-Bob"/>
    <n v="130950.72"/>
    <n v="118661.37999999999"/>
    <n v="12289.340000000011"/>
  </r>
  <r>
    <n v="1048"/>
    <x v="25"/>
    <x v="3"/>
    <x v="2"/>
    <n v="7873.38"/>
    <n v="4"/>
    <x v="3"/>
    <n v="2900.14"/>
    <n v="2910.5099999999902"/>
    <x v="1"/>
    <n v="0.22"/>
    <s v="Credit Card"/>
    <x v="1"/>
    <s v="North-Charlie"/>
    <n v="11642.039999999961"/>
    <n v="11600.56"/>
    <n v="41.479999999961365"/>
  </r>
  <r>
    <n v="1008"/>
    <x v="302"/>
    <x v="1"/>
    <x v="3"/>
    <n v="3197.78"/>
    <n v="49"/>
    <x v="1"/>
    <n v="2907.22"/>
    <n v="3385.6099999999901"/>
    <x v="1"/>
    <n v="0.13"/>
    <s v="Cash"/>
    <x v="0"/>
    <s v="South-Alice"/>
    <n v="165894.88999999952"/>
    <n v="142453.78"/>
    <n v="23441.10999999952"/>
  </r>
  <r>
    <n v="1033"/>
    <x v="291"/>
    <x v="0"/>
    <x v="2"/>
    <n v="5055.9799999999996"/>
    <n v="16"/>
    <x v="3"/>
    <n v="2915.88"/>
    <n v="3397.36"/>
    <x v="1"/>
    <n v="0.2"/>
    <s v="Bank Transfer"/>
    <x v="1"/>
    <s v="North-Bob"/>
    <n v="54357.760000000002"/>
    <n v="46654.080000000002"/>
    <n v="7703.68"/>
  </r>
  <r>
    <n v="1039"/>
    <x v="152"/>
    <x v="4"/>
    <x v="1"/>
    <n v="7527.63"/>
    <n v="36"/>
    <x v="0"/>
    <n v="2919"/>
    <n v="3125.01"/>
    <x v="1"/>
    <n v="0.24"/>
    <s v="Cash"/>
    <x v="0"/>
    <s v="West-Eve"/>
    <n v="112500.36000000002"/>
    <n v="105084"/>
    <n v="7416.3600000000151"/>
  </r>
  <r>
    <n v="1096"/>
    <x v="7"/>
    <x v="2"/>
    <x v="3"/>
    <n v="7051.25"/>
    <n v="10"/>
    <x v="0"/>
    <n v="2927.02"/>
    <n v="3387.21"/>
    <x v="0"/>
    <n v="0.12"/>
    <s v="Cash"/>
    <x v="1"/>
    <s v="South-David"/>
    <n v="33872.1"/>
    <n v="29270.2"/>
    <n v="4601.8999999999978"/>
  </r>
  <r>
    <n v="1015"/>
    <x v="19"/>
    <x v="4"/>
    <x v="0"/>
    <n v="2673.06"/>
    <n v="1"/>
    <x v="3"/>
    <n v="2928.74"/>
    <n v="3027.74"/>
    <x v="1"/>
    <n v="0.15"/>
    <s v="Bank Transfer"/>
    <x v="1"/>
    <s v="East-Eve"/>
    <n v="3027.74"/>
    <n v="2928.74"/>
    <n v="99"/>
  </r>
  <r>
    <n v="1001"/>
    <x v="245"/>
    <x v="0"/>
    <x v="1"/>
    <n v="8397.73"/>
    <n v="33"/>
    <x v="3"/>
    <n v="2933.54"/>
    <n v="3307.75"/>
    <x v="0"/>
    <n v="0.01"/>
    <s v="Bank Transfer"/>
    <x v="1"/>
    <s v="West-Bob"/>
    <n v="109155.75"/>
    <n v="96806.819999999992"/>
    <n v="12348.930000000008"/>
  </r>
  <r>
    <n v="1032"/>
    <x v="10"/>
    <x v="0"/>
    <x v="0"/>
    <n v="804.47"/>
    <n v="25"/>
    <x v="1"/>
    <n v="2934.3"/>
    <n v="3337.4"/>
    <x v="0"/>
    <n v="0.25"/>
    <s v="Credit Card"/>
    <x v="1"/>
    <s v="East-Bob"/>
    <n v="83435"/>
    <n v="73357.5"/>
    <n v="10077.5"/>
  </r>
  <r>
    <n v="1035"/>
    <x v="281"/>
    <x v="0"/>
    <x v="1"/>
    <n v="2494.7399999999998"/>
    <n v="47"/>
    <x v="1"/>
    <n v="2936.48"/>
    <n v="3096.64"/>
    <x v="1"/>
    <n v="0.06"/>
    <s v="Bank Transfer"/>
    <x v="0"/>
    <s v="West-Bob"/>
    <n v="145542.07999999999"/>
    <n v="138014.56"/>
    <n v="7527.5199999999895"/>
  </r>
  <r>
    <n v="1015"/>
    <x v="16"/>
    <x v="3"/>
    <x v="2"/>
    <n v="7946.69"/>
    <n v="23"/>
    <x v="2"/>
    <n v="2937.94"/>
    <n v="3007.53"/>
    <x v="0"/>
    <n v="0.03"/>
    <s v="Cash"/>
    <x v="1"/>
    <s v="North-Charlie"/>
    <n v="69173.19"/>
    <n v="67572.62"/>
    <n v="1600.570000000007"/>
  </r>
  <r>
    <n v="1062"/>
    <x v="272"/>
    <x v="3"/>
    <x v="2"/>
    <n v="5684.33"/>
    <n v="10"/>
    <x v="1"/>
    <n v="2940.4"/>
    <n v="3054.79"/>
    <x v="0"/>
    <n v="0.08"/>
    <s v="Credit Card"/>
    <x v="0"/>
    <s v="North-Charlie"/>
    <n v="30547.9"/>
    <n v="29404"/>
    <n v="1143.9000000000015"/>
  </r>
  <r>
    <n v="1049"/>
    <x v="228"/>
    <x v="3"/>
    <x v="3"/>
    <n v="4380.2299999999996"/>
    <n v="38"/>
    <x v="2"/>
    <n v="2945.92"/>
    <n v="3381.22"/>
    <x v="0"/>
    <n v="0.23"/>
    <s v="Cash"/>
    <x v="1"/>
    <s v="South-Charlie"/>
    <n v="128486.35999999999"/>
    <n v="111944.96000000001"/>
    <n v="16541.39999999998"/>
  </r>
  <r>
    <n v="1098"/>
    <x v="56"/>
    <x v="4"/>
    <x v="2"/>
    <n v="9452.89"/>
    <n v="5"/>
    <x v="1"/>
    <n v="2947.22"/>
    <n v="3145.27"/>
    <x v="1"/>
    <n v="0.1"/>
    <s v="Credit Card"/>
    <x v="1"/>
    <s v="North-Eve"/>
    <n v="15726.35"/>
    <n v="14736.099999999999"/>
    <n v="990.25000000000182"/>
  </r>
  <r>
    <n v="1004"/>
    <x v="134"/>
    <x v="1"/>
    <x v="1"/>
    <n v="7825.72"/>
    <n v="2"/>
    <x v="1"/>
    <n v="2953.23"/>
    <n v="2977.52"/>
    <x v="0"/>
    <n v="0.11"/>
    <s v="Credit Card"/>
    <x v="1"/>
    <s v="West-Alice"/>
    <n v="5955.04"/>
    <n v="5906.46"/>
    <n v="48.579999999999927"/>
  </r>
  <r>
    <n v="1033"/>
    <x v="129"/>
    <x v="2"/>
    <x v="1"/>
    <n v="4155.74"/>
    <n v="3"/>
    <x v="0"/>
    <n v="2958.75"/>
    <n v="3177.64"/>
    <x v="0"/>
    <n v="0.17"/>
    <s v="Cash"/>
    <x v="0"/>
    <s v="West-David"/>
    <n v="9532.92"/>
    <n v="8876.25"/>
    <n v="656.67000000000007"/>
  </r>
  <r>
    <n v="1006"/>
    <x v="150"/>
    <x v="3"/>
    <x v="2"/>
    <n v="6233.31"/>
    <n v="19"/>
    <x v="0"/>
    <n v="2962.41"/>
    <n v="3218.8999999999901"/>
    <x v="1"/>
    <n v="0.28999999999999998"/>
    <s v="Cash"/>
    <x v="1"/>
    <s v="North-Charlie"/>
    <n v="61159.099999999809"/>
    <n v="56285.789999999994"/>
    <n v="4873.3099999998158"/>
  </r>
  <r>
    <n v="1033"/>
    <x v="0"/>
    <x v="2"/>
    <x v="3"/>
    <n v="4011.8"/>
    <n v="23"/>
    <x v="3"/>
    <n v="2981.5"/>
    <n v="3360.4"/>
    <x v="0"/>
    <n v="0.22"/>
    <s v="Bank Transfer"/>
    <x v="1"/>
    <s v="South-David"/>
    <n v="77289.2"/>
    <n v="68574.5"/>
    <n v="8714.6999999999971"/>
  </r>
  <r>
    <n v="1025"/>
    <x v="288"/>
    <x v="3"/>
    <x v="1"/>
    <n v="5910.67"/>
    <n v="40"/>
    <x v="1"/>
    <n v="2983.85"/>
    <n v="3239.74"/>
    <x v="1"/>
    <n v="0.27"/>
    <s v="Credit Card"/>
    <x v="0"/>
    <s v="West-Charlie"/>
    <n v="129589.59999999999"/>
    <n v="119354"/>
    <n v="10235.599999999991"/>
  </r>
  <r>
    <n v="1026"/>
    <x v="116"/>
    <x v="3"/>
    <x v="1"/>
    <n v="9519.09"/>
    <n v="20"/>
    <x v="0"/>
    <n v="2985.63"/>
    <n v="3452.14"/>
    <x v="1"/>
    <n v="0.17"/>
    <s v="Credit Card"/>
    <x v="1"/>
    <s v="West-Charlie"/>
    <n v="69042.8"/>
    <n v="59712.600000000006"/>
    <n v="9330.1999999999971"/>
  </r>
  <r>
    <n v="1052"/>
    <x v="224"/>
    <x v="3"/>
    <x v="0"/>
    <n v="1700.55"/>
    <n v="48"/>
    <x v="2"/>
    <n v="3002.35"/>
    <n v="3080.61"/>
    <x v="0"/>
    <n v="0.18"/>
    <s v="Bank Transfer"/>
    <x v="1"/>
    <s v="East-Charlie"/>
    <n v="147869.28"/>
    <n v="144112.79999999999"/>
    <n v="3756.4800000000105"/>
  </r>
  <r>
    <n v="1088"/>
    <x v="34"/>
    <x v="4"/>
    <x v="1"/>
    <n v="177.63"/>
    <n v="16"/>
    <x v="3"/>
    <n v="3016.9"/>
    <n v="3040.73"/>
    <x v="1"/>
    <n v="0.26"/>
    <s v="Bank Transfer"/>
    <x v="1"/>
    <s v="West-Eve"/>
    <n v="48651.68"/>
    <n v="48270.400000000001"/>
    <n v="381.27999999999884"/>
  </r>
  <r>
    <n v="1062"/>
    <x v="93"/>
    <x v="1"/>
    <x v="0"/>
    <n v="4178.3900000000003"/>
    <n v="24"/>
    <x v="2"/>
    <n v="3018.01"/>
    <n v="3418.19"/>
    <x v="0"/>
    <n v="0.23"/>
    <s v="Bank Transfer"/>
    <x v="1"/>
    <s v="East-Alice"/>
    <n v="82036.56"/>
    <n v="72432.240000000005"/>
    <n v="9604.3199999999924"/>
  </r>
  <r>
    <n v="1078"/>
    <x v="222"/>
    <x v="1"/>
    <x v="3"/>
    <n v="9813.32"/>
    <n v="49"/>
    <x v="3"/>
    <n v="3026.85"/>
    <n v="3183.58"/>
    <x v="0"/>
    <n v="0.25"/>
    <s v="Cash"/>
    <x v="1"/>
    <s v="South-Alice"/>
    <n v="155995.41999999998"/>
    <n v="148315.65"/>
    <n v="7679.7699999999895"/>
  </r>
  <r>
    <n v="1038"/>
    <x v="303"/>
    <x v="1"/>
    <x v="0"/>
    <n v="8489.14"/>
    <n v="43"/>
    <x v="3"/>
    <n v="3031.17"/>
    <n v="3231.32"/>
    <x v="0"/>
    <n v="0.22"/>
    <s v="Cash"/>
    <x v="1"/>
    <s v="East-Alice"/>
    <n v="138946.76"/>
    <n v="130340.31"/>
    <n v="8606.4500000000116"/>
  </r>
  <r>
    <n v="1092"/>
    <x v="105"/>
    <x v="2"/>
    <x v="0"/>
    <n v="499.47"/>
    <n v="47"/>
    <x v="1"/>
    <n v="3034.32"/>
    <n v="3375.79"/>
    <x v="1"/>
    <n v="0.28000000000000003"/>
    <s v="Credit Card"/>
    <x v="0"/>
    <s v="East-David"/>
    <n v="158662.13"/>
    <n v="142613.04"/>
    <n v="16049.089999999997"/>
  </r>
  <r>
    <n v="1085"/>
    <x v="132"/>
    <x v="2"/>
    <x v="0"/>
    <n v="7813.12"/>
    <n v="8"/>
    <x v="2"/>
    <n v="3048.48"/>
    <n v="3198.54"/>
    <x v="0"/>
    <n v="0.03"/>
    <s v="Bank Transfer"/>
    <x v="0"/>
    <s v="East-David"/>
    <n v="25588.32"/>
    <n v="24387.84"/>
    <n v="1200.4799999999996"/>
  </r>
  <r>
    <n v="1030"/>
    <x v="128"/>
    <x v="2"/>
    <x v="1"/>
    <n v="3023.48"/>
    <n v="19"/>
    <x v="0"/>
    <n v="3049.33"/>
    <n v="3209.22"/>
    <x v="0"/>
    <n v="0.26"/>
    <s v="Cash"/>
    <x v="0"/>
    <s v="West-David"/>
    <n v="60975.179999999993"/>
    <n v="57937.27"/>
    <n v="3037.9099999999962"/>
  </r>
  <r>
    <n v="1026"/>
    <x v="63"/>
    <x v="1"/>
    <x v="3"/>
    <n v="7895.13"/>
    <n v="36"/>
    <x v="0"/>
    <n v="3067.05"/>
    <n v="3386.33"/>
    <x v="1"/>
    <n v="0.2"/>
    <s v="Bank Transfer"/>
    <x v="0"/>
    <s v="South-Alice"/>
    <n v="121907.88"/>
    <n v="110413.8"/>
    <n v="11494.080000000002"/>
  </r>
  <r>
    <n v="1092"/>
    <x v="183"/>
    <x v="0"/>
    <x v="3"/>
    <n v="7914"/>
    <n v="18"/>
    <x v="2"/>
    <n v="3070.47"/>
    <n v="3475.29"/>
    <x v="0"/>
    <n v="0.2"/>
    <s v="Bank Transfer"/>
    <x v="0"/>
    <s v="South-Bob"/>
    <n v="62555.22"/>
    <n v="55268.46"/>
    <n v="7286.760000000002"/>
  </r>
  <r>
    <n v="1029"/>
    <x v="268"/>
    <x v="4"/>
    <x v="2"/>
    <n v="5694.34"/>
    <n v="21"/>
    <x v="2"/>
    <n v="3085.1"/>
    <n v="3200.75"/>
    <x v="1"/>
    <n v="0.21"/>
    <s v="Cash"/>
    <x v="1"/>
    <s v="North-Eve"/>
    <n v="67215.75"/>
    <n v="64787.1"/>
    <n v="2428.6500000000015"/>
  </r>
  <r>
    <n v="1004"/>
    <x v="160"/>
    <x v="1"/>
    <x v="0"/>
    <n v="6277.59"/>
    <n v="13"/>
    <x v="3"/>
    <n v="3087.73"/>
    <n v="3263.96"/>
    <x v="1"/>
    <n v="0.24"/>
    <s v="Cash"/>
    <x v="1"/>
    <s v="East-Alice"/>
    <n v="42431.48"/>
    <n v="40140.49"/>
    <n v="2290.9900000000052"/>
  </r>
  <r>
    <n v="1070"/>
    <x v="242"/>
    <x v="2"/>
    <x v="2"/>
    <n v="5813.51"/>
    <n v="40"/>
    <x v="3"/>
    <n v="3089.96"/>
    <n v="3258.45"/>
    <x v="1"/>
    <n v="0.28999999999999998"/>
    <s v="Cash"/>
    <x v="0"/>
    <s v="North-David"/>
    <n v="130338"/>
    <n v="123598.39999999999"/>
    <n v="6739.6000000000058"/>
  </r>
  <r>
    <n v="1016"/>
    <x v="16"/>
    <x v="4"/>
    <x v="1"/>
    <n v="8786.9500000000007"/>
    <n v="11"/>
    <x v="1"/>
    <n v="3094.57"/>
    <n v="3565.6"/>
    <x v="0"/>
    <n v="0.1"/>
    <s v="Credit Card"/>
    <x v="1"/>
    <s v="West-Eve"/>
    <n v="39221.599999999999"/>
    <n v="34040.270000000004"/>
    <n v="5181.3299999999945"/>
  </r>
  <r>
    <n v="1019"/>
    <x v="304"/>
    <x v="4"/>
    <x v="3"/>
    <n v="1114.9100000000001"/>
    <n v="13"/>
    <x v="2"/>
    <n v="3102.73"/>
    <n v="3202.68"/>
    <x v="1"/>
    <n v="0.09"/>
    <s v="Cash"/>
    <x v="0"/>
    <s v="South-Eve"/>
    <n v="41634.839999999997"/>
    <n v="40335.49"/>
    <n v="1299.3499999999985"/>
  </r>
  <r>
    <n v="1024"/>
    <x v="305"/>
    <x v="1"/>
    <x v="2"/>
    <n v="8292.31"/>
    <n v="43"/>
    <x v="0"/>
    <n v="3105.24"/>
    <n v="3246.33"/>
    <x v="1"/>
    <n v="0.25"/>
    <s v="Cash"/>
    <x v="0"/>
    <s v="North-Alice"/>
    <n v="139592.19"/>
    <n v="133525.31999999998"/>
    <n v="6066.8700000000244"/>
  </r>
  <r>
    <n v="1059"/>
    <x v="69"/>
    <x v="1"/>
    <x v="1"/>
    <n v="3634.59"/>
    <n v="21"/>
    <x v="0"/>
    <n v="3110.54"/>
    <n v="3192.99"/>
    <x v="1"/>
    <n v="0.17"/>
    <s v="Credit Card"/>
    <x v="0"/>
    <s v="West-Alice"/>
    <n v="67052.789999999994"/>
    <n v="65321.34"/>
    <n v="1731.4499999999971"/>
  </r>
  <r>
    <n v="1047"/>
    <x v="296"/>
    <x v="1"/>
    <x v="0"/>
    <n v="3546.15"/>
    <n v="37"/>
    <x v="1"/>
    <n v="3114.88"/>
    <n v="3256.78"/>
    <x v="0"/>
    <n v="0.26"/>
    <s v="Credit Card"/>
    <x v="0"/>
    <s v="East-Alice"/>
    <n v="120500.86"/>
    <n v="115250.56"/>
    <n v="5250.3000000000029"/>
  </r>
  <r>
    <n v="1042"/>
    <x v="13"/>
    <x v="0"/>
    <x v="2"/>
    <n v="9442.65"/>
    <n v="20"/>
    <x v="2"/>
    <n v="3115.06"/>
    <n v="3565.58"/>
    <x v="0"/>
    <n v="0.3"/>
    <s v="Credit Card"/>
    <x v="1"/>
    <s v="North-Bob"/>
    <n v="71311.600000000006"/>
    <n v="62301.2"/>
    <n v="9010.4000000000087"/>
  </r>
  <r>
    <n v="1085"/>
    <x v="306"/>
    <x v="4"/>
    <x v="2"/>
    <n v="397.26"/>
    <n v="42"/>
    <x v="1"/>
    <n v="3117.75"/>
    <n v="3159.88"/>
    <x v="1"/>
    <n v="0.04"/>
    <s v="Cash"/>
    <x v="1"/>
    <s v="North-Eve"/>
    <n v="132714.96"/>
    <n v="130945.5"/>
    <n v="1769.4599999999919"/>
  </r>
  <r>
    <n v="1039"/>
    <x v="307"/>
    <x v="1"/>
    <x v="0"/>
    <n v="6807.67"/>
    <n v="42"/>
    <x v="0"/>
    <n v="3120.19"/>
    <n v="3600.14"/>
    <x v="0"/>
    <n v="0.19"/>
    <s v="Credit Card"/>
    <x v="1"/>
    <s v="East-Alice"/>
    <n v="151205.88"/>
    <n v="131047.98"/>
    <n v="20157.900000000009"/>
  </r>
  <r>
    <n v="1033"/>
    <x v="308"/>
    <x v="4"/>
    <x v="0"/>
    <n v="7982.79"/>
    <n v="18"/>
    <x v="3"/>
    <n v="3124.48"/>
    <n v="3553.27"/>
    <x v="0"/>
    <n v="0.12"/>
    <s v="Cash"/>
    <x v="1"/>
    <s v="East-Eve"/>
    <n v="63958.86"/>
    <n v="56240.639999999999"/>
    <n v="7718.2200000000012"/>
  </r>
  <r>
    <n v="1099"/>
    <x v="54"/>
    <x v="0"/>
    <x v="1"/>
    <n v="9450.0400000000009"/>
    <n v="29"/>
    <x v="1"/>
    <n v="3124.87"/>
    <n v="3383.67"/>
    <x v="1"/>
    <n v="0.05"/>
    <s v="Credit Card"/>
    <x v="1"/>
    <s v="West-Bob"/>
    <n v="98126.430000000008"/>
    <n v="90621.23"/>
    <n v="7505.2000000000116"/>
  </r>
  <r>
    <n v="1030"/>
    <x v="226"/>
    <x v="0"/>
    <x v="1"/>
    <n v="9733.4599999999991"/>
    <n v="34"/>
    <x v="1"/>
    <n v="3125.07"/>
    <n v="3564.19"/>
    <x v="0"/>
    <n v="0.09"/>
    <s v="Cash"/>
    <x v="0"/>
    <s v="West-Bob"/>
    <n v="121182.46"/>
    <n v="106252.38"/>
    <n v="14930.080000000002"/>
  </r>
  <r>
    <n v="1012"/>
    <x v="271"/>
    <x v="1"/>
    <x v="0"/>
    <n v="8892.3700000000008"/>
    <n v="39"/>
    <x v="3"/>
    <n v="3126.52"/>
    <n v="3465.79"/>
    <x v="1"/>
    <n v="0.08"/>
    <s v="Cash"/>
    <x v="0"/>
    <s v="East-Alice"/>
    <n v="135165.81"/>
    <n v="121934.28"/>
    <n v="13231.529999999999"/>
  </r>
  <r>
    <n v="1052"/>
    <x v="87"/>
    <x v="2"/>
    <x v="2"/>
    <n v="7444.77"/>
    <n v="46"/>
    <x v="1"/>
    <n v="3136.42"/>
    <n v="3198.49"/>
    <x v="0"/>
    <n v="0.28999999999999998"/>
    <s v="Cash"/>
    <x v="1"/>
    <s v="North-David"/>
    <n v="147130.53999999998"/>
    <n v="144275.32"/>
    <n v="2855.2199999999721"/>
  </r>
  <r>
    <n v="1087"/>
    <x v="309"/>
    <x v="4"/>
    <x v="2"/>
    <n v="1515.71"/>
    <n v="27"/>
    <x v="2"/>
    <n v="3139.36"/>
    <n v="3423.66"/>
    <x v="1"/>
    <n v="0.18"/>
    <s v="Credit Card"/>
    <x v="0"/>
    <s v="North-Eve"/>
    <n v="92438.819999999992"/>
    <n v="84762.72"/>
    <n v="7676.0999999999913"/>
  </r>
  <r>
    <n v="1048"/>
    <x v="98"/>
    <x v="3"/>
    <x v="2"/>
    <n v="4510.8599999999997"/>
    <n v="42"/>
    <x v="1"/>
    <n v="3139.99"/>
    <n v="3349.37"/>
    <x v="0"/>
    <n v="0.13"/>
    <s v="Credit Card"/>
    <x v="1"/>
    <s v="North-Charlie"/>
    <n v="140673.54"/>
    <n v="131879.57999999999"/>
    <n v="8793.960000000021"/>
  </r>
  <r>
    <n v="1016"/>
    <x v="90"/>
    <x v="1"/>
    <x v="1"/>
    <n v="5401.98"/>
    <n v="2"/>
    <x v="1"/>
    <n v="3144.82"/>
    <n v="3480.58"/>
    <x v="0"/>
    <n v="0.12"/>
    <s v="Cash"/>
    <x v="1"/>
    <s v="West-Alice"/>
    <n v="6961.16"/>
    <n v="6289.64"/>
    <n v="671.51999999999953"/>
  </r>
  <r>
    <n v="1028"/>
    <x v="37"/>
    <x v="1"/>
    <x v="2"/>
    <n v="7987.15"/>
    <n v="2"/>
    <x v="3"/>
    <n v="3146.12"/>
    <n v="3255.5299999999902"/>
    <x v="0"/>
    <n v="0.06"/>
    <s v="Bank Transfer"/>
    <x v="0"/>
    <s v="North-Alice"/>
    <n v="6511.0599999999804"/>
    <n v="6292.24"/>
    <n v="218.81999999998061"/>
  </r>
  <r>
    <n v="1095"/>
    <x v="292"/>
    <x v="0"/>
    <x v="3"/>
    <n v="9805.65"/>
    <n v="10"/>
    <x v="1"/>
    <n v="3155.97"/>
    <n v="3263.49"/>
    <x v="0"/>
    <n v="0.04"/>
    <s v="Credit Card"/>
    <x v="0"/>
    <s v="South-Bob"/>
    <n v="32634.899999999998"/>
    <n v="31559.699999999997"/>
    <n v="1075.2000000000007"/>
  </r>
  <r>
    <n v="1058"/>
    <x v="228"/>
    <x v="2"/>
    <x v="2"/>
    <n v="2714.21"/>
    <n v="34"/>
    <x v="1"/>
    <n v="3160.61"/>
    <n v="3273.22"/>
    <x v="0"/>
    <n v="0.08"/>
    <s v="Credit Card"/>
    <x v="1"/>
    <s v="North-David"/>
    <n v="111289.48"/>
    <n v="107460.74"/>
    <n v="3828.7399999999907"/>
  </r>
  <r>
    <n v="1018"/>
    <x v="215"/>
    <x v="3"/>
    <x v="2"/>
    <n v="2835.56"/>
    <n v="9"/>
    <x v="1"/>
    <n v="3161.09"/>
    <n v="3216.42"/>
    <x v="1"/>
    <n v="0.17"/>
    <s v="Bank Transfer"/>
    <x v="0"/>
    <s v="North-Charlie"/>
    <n v="28947.78"/>
    <n v="28449.81"/>
    <n v="497.96999999999753"/>
  </r>
  <r>
    <n v="1060"/>
    <x v="310"/>
    <x v="3"/>
    <x v="1"/>
    <n v="5260.83"/>
    <n v="31"/>
    <x v="1"/>
    <n v="3161.4"/>
    <n v="3339.66"/>
    <x v="0"/>
    <n v="0.02"/>
    <s v="Bank Transfer"/>
    <x v="0"/>
    <s v="West-Charlie"/>
    <n v="103529.45999999999"/>
    <n v="98003.400000000009"/>
    <n v="5526.0599999999831"/>
  </r>
  <r>
    <n v="1033"/>
    <x v="311"/>
    <x v="0"/>
    <x v="3"/>
    <n v="2758.48"/>
    <n v="5"/>
    <x v="3"/>
    <n v="3162.92"/>
    <n v="3409.93"/>
    <x v="1"/>
    <n v="0"/>
    <s v="Cash"/>
    <x v="0"/>
    <s v="South-Bob"/>
    <n v="17049.649999999998"/>
    <n v="15814.6"/>
    <n v="1235.0499999999975"/>
  </r>
  <r>
    <n v="1068"/>
    <x v="312"/>
    <x v="1"/>
    <x v="3"/>
    <n v="9093.5"/>
    <n v="31"/>
    <x v="0"/>
    <n v="3169.37"/>
    <n v="3304.15"/>
    <x v="0"/>
    <n v="0.25"/>
    <s v="Credit Card"/>
    <x v="1"/>
    <s v="South-Alice"/>
    <n v="102428.65000000001"/>
    <n v="98250.47"/>
    <n v="4178.1800000000076"/>
  </r>
  <r>
    <n v="1074"/>
    <x v="48"/>
    <x v="4"/>
    <x v="1"/>
    <n v="6710.83"/>
    <n v="2"/>
    <x v="2"/>
    <n v="3173.69"/>
    <n v="3503.11"/>
    <x v="1"/>
    <n v="0.2"/>
    <s v="Bank Transfer"/>
    <x v="1"/>
    <s v="West-Eve"/>
    <n v="7006.22"/>
    <n v="6347.38"/>
    <n v="658.84000000000015"/>
  </r>
  <r>
    <n v="1078"/>
    <x v="313"/>
    <x v="3"/>
    <x v="3"/>
    <n v="6136"/>
    <n v="29"/>
    <x v="1"/>
    <n v="3177.81"/>
    <n v="3222.65"/>
    <x v="0"/>
    <n v="0.08"/>
    <s v="Credit Card"/>
    <x v="1"/>
    <s v="South-Charlie"/>
    <n v="93456.85"/>
    <n v="92156.49"/>
    <n v="1300.3600000000006"/>
  </r>
  <r>
    <n v="1014"/>
    <x v="133"/>
    <x v="2"/>
    <x v="1"/>
    <n v="9762.5400000000009"/>
    <n v="17"/>
    <x v="2"/>
    <n v="3184.65"/>
    <n v="3204.01"/>
    <x v="1"/>
    <n v="0.2"/>
    <s v="Bank Transfer"/>
    <x v="0"/>
    <s v="West-David"/>
    <n v="54468.170000000006"/>
    <n v="54139.05"/>
    <n v="329.12000000000262"/>
  </r>
  <r>
    <n v="1095"/>
    <x v="302"/>
    <x v="4"/>
    <x v="0"/>
    <n v="3801.82"/>
    <n v="4"/>
    <x v="0"/>
    <n v="3191.05"/>
    <n v="3555.35"/>
    <x v="1"/>
    <n v="0.28000000000000003"/>
    <s v="Credit Card"/>
    <x v="0"/>
    <s v="East-Eve"/>
    <n v="14221.4"/>
    <n v="12764.2"/>
    <n v="1457.1999999999989"/>
  </r>
  <r>
    <n v="1029"/>
    <x v="15"/>
    <x v="4"/>
    <x v="3"/>
    <n v="8064.5"/>
    <n v="27"/>
    <x v="2"/>
    <n v="3196.38"/>
    <n v="3596.64"/>
    <x v="1"/>
    <n v="0.01"/>
    <s v="Cash"/>
    <x v="1"/>
    <s v="South-Eve"/>
    <n v="97109.28"/>
    <n v="86302.260000000009"/>
    <n v="10807.01999999999"/>
  </r>
  <r>
    <n v="1048"/>
    <x v="222"/>
    <x v="3"/>
    <x v="1"/>
    <n v="7454.53"/>
    <n v="27"/>
    <x v="0"/>
    <n v="3197.76"/>
    <n v="3572.61"/>
    <x v="0"/>
    <n v="0.08"/>
    <s v="Credit Card"/>
    <x v="0"/>
    <s v="West-Charlie"/>
    <n v="96460.47"/>
    <n v="86339.520000000004"/>
    <n v="10120.949999999997"/>
  </r>
  <r>
    <n v="1009"/>
    <x v="56"/>
    <x v="3"/>
    <x v="3"/>
    <n v="2945.87"/>
    <n v="32"/>
    <x v="0"/>
    <n v="3219.88"/>
    <n v="3384.5"/>
    <x v="0"/>
    <n v="0.14000000000000001"/>
    <s v="Cash"/>
    <x v="1"/>
    <s v="South-Charlie"/>
    <n v="108304"/>
    <n v="103036.16"/>
    <n v="5267.8399999999965"/>
  </r>
  <r>
    <n v="1009"/>
    <x v="58"/>
    <x v="2"/>
    <x v="0"/>
    <n v="198.79"/>
    <n v="1"/>
    <x v="0"/>
    <n v="3223.07"/>
    <n v="3590.83"/>
    <x v="1"/>
    <n v="0.19"/>
    <s v="Bank Transfer"/>
    <x v="1"/>
    <s v="East-David"/>
    <n v="3590.83"/>
    <n v="3223.07"/>
    <n v="367.75999999999976"/>
  </r>
  <r>
    <n v="1057"/>
    <x v="136"/>
    <x v="4"/>
    <x v="3"/>
    <n v="3297.97"/>
    <n v="40"/>
    <x v="0"/>
    <n v="3233.37"/>
    <n v="3723.21"/>
    <x v="1"/>
    <n v="0.22"/>
    <s v="Bank Transfer"/>
    <x v="1"/>
    <s v="South-Eve"/>
    <n v="148928.4"/>
    <n v="129334.79999999999"/>
    <n v="19593.600000000006"/>
  </r>
  <r>
    <n v="1027"/>
    <x v="279"/>
    <x v="0"/>
    <x v="3"/>
    <n v="6650.67"/>
    <n v="22"/>
    <x v="2"/>
    <n v="3240.2"/>
    <n v="3606.0899999999901"/>
    <x v="1"/>
    <n v="7.0000000000000007E-2"/>
    <s v="Cash"/>
    <x v="0"/>
    <s v="South-Bob"/>
    <n v="79333.979999999778"/>
    <n v="71284.399999999994"/>
    <n v="8049.5799999997835"/>
  </r>
  <r>
    <n v="1052"/>
    <x v="225"/>
    <x v="3"/>
    <x v="0"/>
    <n v="2072.7800000000002"/>
    <n v="18"/>
    <x v="3"/>
    <n v="3271.62"/>
    <n v="3722.38"/>
    <x v="0"/>
    <n v="0.19"/>
    <s v="Bank Transfer"/>
    <x v="1"/>
    <s v="East-Charlie"/>
    <n v="67002.84"/>
    <n v="58889.159999999996"/>
    <n v="8113.68"/>
  </r>
  <r>
    <n v="1001"/>
    <x v="314"/>
    <x v="2"/>
    <x v="1"/>
    <n v="9087.6"/>
    <n v="20"/>
    <x v="2"/>
    <n v="3279.76"/>
    <n v="3563.97"/>
    <x v="0"/>
    <n v="0.25"/>
    <s v="Cash"/>
    <x v="1"/>
    <s v="West-David"/>
    <n v="71279.399999999994"/>
    <n v="65595.200000000012"/>
    <n v="5684.1999999999825"/>
  </r>
  <r>
    <n v="1093"/>
    <x v="133"/>
    <x v="3"/>
    <x v="2"/>
    <n v="862.1"/>
    <n v="22"/>
    <x v="3"/>
    <n v="3285.25"/>
    <n v="3634.58"/>
    <x v="1"/>
    <n v="0.13"/>
    <s v="Bank Transfer"/>
    <x v="0"/>
    <s v="North-Charlie"/>
    <n v="79960.759999999995"/>
    <n v="72275.5"/>
    <n v="7685.2599999999948"/>
  </r>
  <r>
    <n v="1003"/>
    <x v="27"/>
    <x v="0"/>
    <x v="1"/>
    <n v="3755.88"/>
    <n v="15"/>
    <x v="0"/>
    <n v="3286.24"/>
    <n v="3388.8399999999901"/>
    <x v="0"/>
    <n v="0.09"/>
    <s v="Credit Card"/>
    <x v="1"/>
    <s v="West-Bob"/>
    <n v="50832.599999999853"/>
    <n v="49293.599999999999"/>
    <n v="1538.9999999998545"/>
  </r>
  <r>
    <n v="1041"/>
    <x v="243"/>
    <x v="3"/>
    <x v="0"/>
    <n v="4170.8"/>
    <n v="44"/>
    <x v="1"/>
    <n v="3288.39"/>
    <n v="3391.46"/>
    <x v="1"/>
    <n v="0.05"/>
    <s v="Credit Card"/>
    <x v="1"/>
    <s v="East-Charlie"/>
    <n v="149224.24"/>
    <n v="144689.16"/>
    <n v="4535.0799999999872"/>
  </r>
  <r>
    <n v="1010"/>
    <x v="170"/>
    <x v="2"/>
    <x v="3"/>
    <n v="2418.61"/>
    <n v="30"/>
    <x v="2"/>
    <n v="3289.01"/>
    <n v="3508.14"/>
    <x v="1"/>
    <n v="0.17"/>
    <s v="Bank Transfer"/>
    <x v="1"/>
    <s v="South-David"/>
    <n v="105244.2"/>
    <n v="98670.3"/>
    <n v="6573.8999999999942"/>
  </r>
  <r>
    <n v="1049"/>
    <x v="14"/>
    <x v="1"/>
    <x v="1"/>
    <n v="3741.08"/>
    <n v="1"/>
    <x v="3"/>
    <n v="3290.89"/>
    <n v="3317.75"/>
    <x v="0"/>
    <n v="0.17"/>
    <s v="Bank Transfer"/>
    <x v="0"/>
    <s v="West-Alice"/>
    <n v="3317.75"/>
    <n v="3290.89"/>
    <n v="26.860000000000127"/>
  </r>
  <r>
    <n v="1002"/>
    <x v="119"/>
    <x v="2"/>
    <x v="2"/>
    <n v="333.59"/>
    <n v="24"/>
    <x v="3"/>
    <n v="3305.94"/>
    <n v="3599.27"/>
    <x v="1"/>
    <n v="0.09"/>
    <s v="Credit Card"/>
    <x v="1"/>
    <s v="North-David"/>
    <n v="86382.48"/>
    <n v="79342.559999999998"/>
    <n v="7039.9199999999983"/>
  </r>
  <r>
    <n v="1049"/>
    <x v="315"/>
    <x v="0"/>
    <x v="0"/>
    <n v="4216.17"/>
    <n v="19"/>
    <x v="0"/>
    <n v="3316.97"/>
    <n v="3544.02"/>
    <x v="0"/>
    <n v="0.14000000000000001"/>
    <s v="Cash"/>
    <x v="0"/>
    <s v="East-Bob"/>
    <n v="67336.38"/>
    <n v="63022.429999999993"/>
    <n v="4313.9500000000116"/>
  </r>
  <r>
    <n v="1050"/>
    <x v="289"/>
    <x v="0"/>
    <x v="2"/>
    <n v="9755.9"/>
    <n v="20"/>
    <x v="1"/>
    <n v="3318.92"/>
    <n v="3785.91"/>
    <x v="1"/>
    <n v="0.24"/>
    <s v="Bank Transfer"/>
    <x v="0"/>
    <s v="North-Bob"/>
    <n v="75718.2"/>
    <n v="66378.399999999994"/>
    <n v="9339.8000000000029"/>
  </r>
  <r>
    <n v="1051"/>
    <x v="241"/>
    <x v="1"/>
    <x v="1"/>
    <n v="5262.45"/>
    <n v="23"/>
    <x v="1"/>
    <n v="3325.43"/>
    <n v="3401.1"/>
    <x v="1"/>
    <n v="0.1"/>
    <s v="Cash"/>
    <x v="0"/>
    <s v="West-Alice"/>
    <n v="78225.3"/>
    <n v="76484.89"/>
    <n v="1740.4100000000035"/>
  </r>
  <r>
    <n v="1085"/>
    <x v="316"/>
    <x v="4"/>
    <x v="1"/>
    <n v="5324.01"/>
    <n v="45"/>
    <x v="3"/>
    <n v="3325.96"/>
    <n v="3781.4"/>
    <x v="0"/>
    <n v="0.27"/>
    <s v="Credit Card"/>
    <x v="0"/>
    <s v="West-Eve"/>
    <n v="170163"/>
    <n v="149668.20000000001"/>
    <n v="20494.799999999988"/>
  </r>
  <r>
    <n v="1059"/>
    <x v="171"/>
    <x v="1"/>
    <x v="2"/>
    <n v="1203.97"/>
    <n v="35"/>
    <x v="2"/>
    <n v="3333.64"/>
    <n v="3764.52"/>
    <x v="0"/>
    <n v="0.02"/>
    <s v="Credit Card"/>
    <x v="0"/>
    <s v="North-Alice"/>
    <n v="131758.20000000001"/>
    <n v="116677.4"/>
    <n v="15080.800000000017"/>
  </r>
  <r>
    <n v="1036"/>
    <x v="244"/>
    <x v="1"/>
    <x v="0"/>
    <n v="2583.84"/>
    <n v="23"/>
    <x v="2"/>
    <n v="3335.53"/>
    <n v="3742.12"/>
    <x v="1"/>
    <n v="0.03"/>
    <s v="Bank Transfer"/>
    <x v="1"/>
    <s v="East-Alice"/>
    <n v="86068.76"/>
    <n v="76717.19"/>
    <n v="9351.5699999999924"/>
  </r>
  <r>
    <n v="1028"/>
    <x v="314"/>
    <x v="1"/>
    <x v="2"/>
    <n v="2363.9"/>
    <n v="38"/>
    <x v="0"/>
    <n v="3350.32"/>
    <n v="3449.94"/>
    <x v="1"/>
    <n v="0.26"/>
    <s v="Cash"/>
    <x v="0"/>
    <s v="North-Alice"/>
    <n v="131097.72"/>
    <n v="127312.16"/>
    <n v="3785.5599999999977"/>
  </r>
  <r>
    <n v="1031"/>
    <x v="183"/>
    <x v="4"/>
    <x v="0"/>
    <n v="433.4"/>
    <n v="32"/>
    <x v="0"/>
    <n v="3351.33"/>
    <n v="3711.47"/>
    <x v="1"/>
    <n v="0.16"/>
    <s v="Cash"/>
    <x v="1"/>
    <s v="East-Eve"/>
    <n v="118767.03999999999"/>
    <n v="107242.56"/>
    <n v="11524.479999999996"/>
  </r>
  <r>
    <n v="1049"/>
    <x v="317"/>
    <x v="1"/>
    <x v="1"/>
    <n v="5972.27"/>
    <n v="44"/>
    <x v="3"/>
    <n v="3351.33"/>
    <n v="3465.35"/>
    <x v="0"/>
    <n v="0.12"/>
    <s v="Bank Transfer"/>
    <x v="0"/>
    <s v="West-Alice"/>
    <n v="152475.4"/>
    <n v="147458.51999999999"/>
    <n v="5016.8800000000047"/>
  </r>
  <r>
    <n v="1013"/>
    <x v="60"/>
    <x v="4"/>
    <x v="0"/>
    <n v="6769.09"/>
    <n v="20"/>
    <x v="0"/>
    <n v="3356.62"/>
    <n v="3759.0099999999902"/>
    <x v="0"/>
    <n v="0.05"/>
    <s v="Credit Card"/>
    <x v="1"/>
    <s v="East-Eve"/>
    <n v="75180.199999999808"/>
    <n v="67132.399999999994"/>
    <n v="8047.7999999998137"/>
  </r>
  <r>
    <n v="1021"/>
    <x v="18"/>
    <x v="0"/>
    <x v="2"/>
    <n v="2971.45"/>
    <n v="9"/>
    <x v="3"/>
    <n v="3365.28"/>
    <n v="3730.43"/>
    <x v="1"/>
    <n v="0.17"/>
    <s v="Bank Transfer"/>
    <x v="0"/>
    <s v="North-Bob"/>
    <n v="33573.869999999995"/>
    <n v="30287.52"/>
    <n v="3286.3499999999949"/>
  </r>
  <r>
    <n v="1044"/>
    <x v="214"/>
    <x v="2"/>
    <x v="3"/>
    <n v="7754.1"/>
    <n v="22"/>
    <x v="2"/>
    <n v="3373.46"/>
    <n v="3454.76"/>
    <x v="0"/>
    <n v="0.22"/>
    <s v="Bank Transfer"/>
    <x v="1"/>
    <s v="South-David"/>
    <n v="76004.72"/>
    <n v="74216.12"/>
    <n v="1788.6000000000058"/>
  </r>
  <r>
    <n v="1023"/>
    <x v="212"/>
    <x v="0"/>
    <x v="0"/>
    <n v="1875.62"/>
    <n v="47"/>
    <x v="1"/>
    <n v="3374.72"/>
    <n v="3483.1499999999901"/>
    <x v="0"/>
    <n v="0.18"/>
    <s v="Cash"/>
    <x v="0"/>
    <s v="East-Bob"/>
    <n v="163708.04999999952"/>
    <n v="158611.84"/>
    <n v="5096.2099999995262"/>
  </r>
  <r>
    <n v="1039"/>
    <x v="8"/>
    <x v="0"/>
    <x v="3"/>
    <n v="3099.02"/>
    <n v="8"/>
    <x v="0"/>
    <n v="3380.14"/>
    <n v="3609.3399999999901"/>
    <x v="0"/>
    <n v="0.09"/>
    <s v="Credit Card"/>
    <x v="0"/>
    <s v="South-Bob"/>
    <n v="28874.719999999921"/>
    <n v="27041.119999999999"/>
    <n v="1833.5999999999221"/>
  </r>
  <r>
    <n v="1082"/>
    <x v="162"/>
    <x v="1"/>
    <x v="0"/>
    <n v="8540.2199999999993"/>
    <n v="48"/>
    <x v="2"/>
    <n v="3380.52"/>
    <n v="3778.94"/>
    <x v="0"/>
    <n v="0.3"/>
    <s v="Bank Transfer"/>
    <x v="0"/>
    <s v="East-Alice"/>
    <n v="181389.12"/>
    <n v="162264.95999999999"/>
    <n v="19124.160000000003"/>
  </r>
  <r>
    <n v="1016"/>
    <x v="246"/>
    <x v="4"/>
    <x v="2"/>
    <n v="2783.85"/>
    <n v="41"/>
    <x v="2"/>
    <n v="3386.49"/>
    <n v="3430.99"/>
    <x v="1"/>
    <n v="0.21"/>
    <s v="Bank Transfer"/>
    <x v="1"/>
    <s v="North-Eve"/>
    <n v="140670.59"/>
    <n v="138846.09"/>
    <n v="1824.5"/>
  </r>
  <r>
    <n v="1016"/>
    <x v="44"/>
    <x v="3"/>
    <x v="2"/>
    <n v="9027.56"/>
    <n v="3"/>
    <x v="1"/>
    <n v="3401.87"/>
    <n v="3733.71"/>
    <x v="0"/>
    <n v="0.06"/>
    <s v="Bank Transfer"/>
    <x v="1"/>
    <s v="North-Charlie"/>
    <n v="11201.130000000001"/>
    <n v="10205.61"/>
    <n v="995.52000000000044"/>
  </r>
  <r>
    <n v="1017"/>
    <x v="273"/>
    <x v="0"/>
    <x v="0"/>
    <n v="496.59"/>
    <n v="29"/>
    <x v="0"/>
    <n v="3410.49"/>
    <n v="3481.72"/>
    <x v="1"/>
    <n v="0.24"/>
    <s v="Bank Transfer"/>
    <x v="1"/>
    <s v="East-Bob"/>
    <n v="100969.87999999999"/>
    <n v="98904.209999999992"/>
    <n v="2065.6699999999983"/>
  </r>
  <r>
    <n v="1080"/>
    <x v="100"/>
    <x v="1"/>
    <x v="0"/>
    <n v="3602.51"/>
    <n v="32"/>
    <x v="1"/>
    <n v="3414.54"/>
    <n v="3753.83"/>
    <x v="1"/>
    <n v="0.22"/>
    <s v="Cash"/>
    <x v="1"/>
    <s v="East-Alice"/>
    <n v="120122.56"/>
    <n v="109265.28"/>
    <n v="10857.279999999999"/>
  </r>
  <r>
    <n v="1024"/>
    <x v="228"/>
    <x v="4"/>
    <x v="2"/>
    <n v="9190.57"/>
    <n v="5"/>
    <x v="3"/>
    <n v="3417.9"/>
    <n v="3714.52"/>
    <x v="0"/>
    <n v="0.27"/>
    <s v="Credit Card"/>
    <x v="1"/>
    <s v="North-Eve"/>
    <n v="18572.599999999999"/>
    <n v="17089.5"/>
    <n v="1483.0999999999985"/>
  </r>
  <r>
    <n v="1003"/>
    <x v="72"/>
    <x v="3"/>
    <x v="2"/>
    <n v="6760.37"/>
    <n v="26"/>
    <x v="1"/>
    <n v="3418.78"/>
    <n v="3824.1"/>
    <x v="1"/>
    <n v="0.19"/>
    <s v="Credit Card"/>
    <x v="0"/>
    <s v="North-Charlie"/>
    <n v="99426.599999999991"/>
    <n v="88888.28"/>
    <n v="10538.319999999992"/>
  </r>
  <r>
    <n v="1086"/>
    <x v="231"/>
    <x v="1"/>
    <x v="3"/>
    <n v="9269.32"/>
    <n v="33"/>
    <x v="0"/>
    <n v="3419.33"/>
    <n v="3890.3599999999901"/>
    <x v="0"/>
    <n v="0.21"/>
    <s v="Cash"/>
    <x v="1"/>
    <s v="South-Alice"/>
    <n v="128381.87999999967"/>
    <n v="112837.89"/>
    <n v="15543.989999999671"/>
  </r>
  <r>
    <n v="1084"/>
    <x v="113"/>
    <x v="0"/>
    <x v="3"/>
    <n v="2396.98"/>
    <n v="15"/>
    <x v="3"/>
    <n v="3420.72"/>
    <n v="3513.74"/>
    <x v="1"/>
    <n v="0.02"/>
    <s v="Cash"/>
    <x v="0"/>
    <s v="South-Bob"/>
    <n v="52706.1"/>
    <n v="51310.799999999996"/>
    <n v="1395.3000000000029"/>
  </r>
  <r>
    <n v="1051"/>
    <x v="104"/>
    <x v="0"/>
    <x v="1"/>
    <n v="8047.83"/>
    <n v="3"/>
    <x v="3"/>
    <n v="3434.75"/>
    <n v="3659.42"/>
    <x v="1"/>
    <n v="0.16"/>
    <s v="Cash"/>
    <x v="0"/>
    <s v="West-Bob"/>
    <n v="10978.26"/>
    <n v="10304.25"/>
    <n v="674.01000000000022"/>
  </r>
  <r>
    <n v="1067"/>
    <x v="201"/>
    <x v="0"/>
    <x v="2"/>
    <n v="914.5"/>
    <n v="11"/>
    <x v="3"/>
    <n v="3435.68"/>
    <n v="3552.6299999999901"/>
    <x v="1"/>
    <n v="0.27"/>
    <s v="Cash"/>
    <x v="1"/>
    <s v="North-Bob"/>
    <n v="39078.929999999891"/>
    <n v="37792.479999999996"/>
    <n v="1286.4499999998952"/>
  </r>
  <r>
    <n v="1099"/>
    <x v="72"/>
    <x v="1"/>
    <x v="3"/>
    <n v="3518.89"/>
    <n v="48"/>
    <x v="2"/>
    <n v="3441.61"/>
    <n v="3693.45"/>
    <x v="0"/>
    <n v="0.19"/>
    <s v="Bank Transfer"/>
    <x v="0"/>
    <s v="South-Alice"/>
    <n v="177285.59999999998"/>
    <n v="165197.28"/>
    <n v="12088.319999999978"/>
  </r>
  <r>
    <n v="1094"/>
    <x v="114"/>
    <x v="4"/>
    <x v="1"/>
    <n v="5835.21"/>
    <n v="38"/>
    <x v="2"/>
    <n v="3443.98"/>
    <n v="3820.3"/>
    <x v="0"/>
    <n v="0.01"/>
    <s v="Credit Card"/>
    <x v="1"/>
    <s v="West-Eve"/>
    <n v="145171.4"/>
    <n v="130871.24"/>
    <n v="14300.159999999989"/>
  </r>
  <r>
    <n v="1094"/>
    <x v="165"/>
    <x v="3"/>
    <x v="3"/>
    <n v="8643.67"/>
    <n v="47"/>
    <x v="2"/>
    <n v="3450.36"/>
    <n v="3557.38"/>
    <x v="1"/>
    <n v="0.2"/>
    <s v="Credit Card"/>
    <x v="0"/>
    <s v="South-Charlie"/>
    <n v="167196.86000000002"/>
    <n v="162166.92000000001"/>
    <n v="5029.9400000000023"/>
  </r>
  <r>
    <n v="1052"/>
    <x v="91"/>
    <x v="0"/>
    <x v="2"/>
    <n v="8837.34"/>
    <n v="11"/>
    <x v="0"/>
    <n v="3451.59"/>
    <n v="3929.26"/>
    <x v="1"/>
    <n v="0.3"/>
    <s v="Credit Card"/>
    <x v="1"/>
    <s v="North-Bob"/>
    <n v="43221.86"/>
    <n v="37967.490000000005"/>
    <n v="5254.3699999999953"/>
  </r>
  <r>
    <n v="1012"/>
    <x v="318"/>
    <x v="0"/>
    <x v="0"/>
    <n v="3608.81"/>
    <n v="19"/>
    <x v="3"/>
    <n v="3457.28"/>
    <n v="3598.72"/>
    <x v="1"/>
    <n v="0.27"/>
    <s v="Bank Transfer"/>
    <x v="0"/>
    <s v="East-Bob"/>
    <n v="68375.679999999993"/>
    <n v="65688.320000000007"/>
    <n v="2687.359999999986"/>
  </r>
  <r>
    <n v="1078"/>
    <x v="19"/>
    <x v="2"/>
    <x v="0"/>
    <n v="113.4"/>
    <n v="8"/>
    <x v="3"/>
    <n v="3459.61"/>
    <n v="3657.23"/>
    <x v="0"/>
    <n v="0.03"/>
    <s v="Bank Transfer"/>
    <x v="0"/>
    <s v="East-David"/>
    <n v="29257.84"/>
    <n v="27676.880000000001"/>
    <n v="1580.9599999999991"/>
  </r>
  <r>
    <n v="1015"/>
    <x v="17"/>
    <x v="0"/>
    <x v="0"/>
    <n v="182.37"/>
    <n v="35"/>
    <x v="0"/>
    <n v="3461.15"/>
    <n v="3631.75"/>
    <x v="0"/>
    <n v="0.27"/>
    <s v="Credit Card"/>
    <x v="0"/>
    <s v="East-Bob"/>
    <n v="127111.25"/>
    <n v="121140.25"/>
    <n v="5971"/>
  </r>
  <r>
    <n v="1057"/>
    <x v="43"/>
    <x v="4"/>
    <x v="0"/>
    <n v="2046.87"/>
    <n v="22"/>
    <x v="2"/>
    <n v="3462.61"/>
    <n v="3672.89"/>
    <x v="0"/>
    <n v="0.27"/>
    <s v="Credit Card"/>
    <x v="0"/>
    <s v="East-Eve"/>
    <n v="80803.58"/>
    <n v="76177.42"/>
    <n v="4626.1600000000035"/>
  </r>
  <r>
    <n v="1012"/>
    <x v="299"/>
    <x v="0"/>
    <x v="2"/>
    <n v="5371.79"/>
    <n v="16"/>
    <x v="2"/>
    <n v="3466.11"/>
    <n v="3799.67"/>
    <x v="0"/>
    <n v="0.01"/>
    <s v="Cash"/>
    <x v="1"/>
    <s v="North-Bob"/>
    <n v="60794.720000000001"/>
    <n v="55457.760000000002"/>
    <n v="5336.9599999999991"/>
  </r>
  <r>
    <n v="1034"/>
    <x v="122"/>
    <x v="1"/>
    <x v="1"/>
    <n v="534.61"/>
    <n v="3"/>
    <x v="0"/>
    <n v="3472.51"/>
    <n v="3732"/>
    <x v="1"/>
    <n v="0.06"/>
    <s v="Cash"/>
    <x v="0"/>
    <s v="West-Alice"/>
    <n v="11196"/>
    <n v="10417.530000000001"/>
    <n v="778.46999999999935"/>
  </r>
  <r>
    <n v="1047"/>
    <x v="258"/>
    <x v="3"/>
    <x v="0"/>
    <n v="2936.54"/>
    <n v="19"/>
    <x v="3"/>
    <n v="3484.62"/>
    <n v="3781.5499999999902"/>
    <x v="0"/>
    <n v="0.21"/>
    <s v="Credit Card"/>
    <x v="1"/>
    <s v="East-Charlie"/>
    <n v="71849.449999999808"/>
    <n v="66207.78"/>
    <n v="5641.6699999998091"/>
  </r>
  <r>
    <n v="1067"/>
    <x v="38"/>
    <x v="0"/>
    <x v="0"/>
    <n v="7078.22"/>
    <n v="28"/>
    <x v="1"/>
    <n v="3489.85"/>
    <n v="3842.5499999999902"/>
    <x v="1"/>
    <n v="0.03"/>
    <s v="Bank Transfer"/>
    <x v="0"/>
    <s v="East-Bob"/>
    <n v="107591.39999999973"/>
    <n v="97715.8"/>
    <n v="9875.5999999997293"/>
  </r>
  <r>
    <n v="1061"/>
    <x v="319"/>
    <x v="4"/>
    <x v="3"/>
    <n v="8345.02"/>
    <n v="39"/>
    <x v="1"/>
    <n v="3494.19"/>
    <n v="3746"/>
    <x v="0"/>
    <n v="0.25"/>
    <s v="Bank Transfer"/>
    <x v="1"/>
    <s v="South-Eve"/>
    <n v="146094"/>
    <n v="136273.41"/>
    <n v="9820.5899999999965"/>
  </r>
  <r>
    <n v="1059"/>
    <x v="206"/>
    <x v="4"/>
    <x v="1"/>
    <n v="3595.2"/>
    <n v="12"/>
    <x v="2"/>
    <n v="3496.15"/>
    <n v="3955.75"/>
    <x v="0"/>
    <n v="0.28000000000000003"/>
    <s v="Cash"/>
    <x v="1"/>
    <s v="West-Eve"/>
    <n v="47469"/>
    <n v="41953.8"/>
    <n v="5515.1999999999971"/>
  </r>
  <r>
    <n v="1084"/>
    <x v="50"/>
    <x v="1"/>
    <x v="1"/>
    <n v="1290.05"/>
    <n v="21"/>
    <x v="3"/>
    <n v="3497.98"/>
    <n v="3765.31"/>
    <x v="1"/>
    <n v="0.08"/>
    <s v="Cash"/>
    <x v="0"/>
    <s v="West-Alice"/>
    <n v="79071.509999999995"/>
    <n v="73457.58"/>
    <n v="5613.929999999993"/>
  </r>
  <r>
    <n v="1089"/>
    <x v="87"/>
    <x v="2"/>
    <x v="3"/>
    <n v="9813.07"/>
    <n v="25"/>
    <x v="3"/>
    <n v="3512.69"/>
    <n v="3964.63"/>
    <x v="0"/>
    <n v="0.03"/>
    <s v="Credit Card"/>
    <x v="1"/>
    <s v="South-David"/>
    <n v="99115.75"/>
    <n v="87817.25"/>
    <n v="11298.5"/>
  </r>
  <r>
    <n v="1055"/>
    <x v="240"/>
    <x v="3"/>
    <x v="1"/>
    <n v="4102.47"/>
    <n v="8"/>
    <x v="3"/>
    <n v="3513"/>
    <n v="3838.42"/>
    <x v="0"/>
    <n v="0.13"/>
    <s v="Bank Transfer"/>
    <x v="0"/>
    <s v="West-Charlie"/>
    <n v="30707.360000000001"/>
    <n v="28104"/>
    <n v="2603.3600000000006"/>
  </r>
  <r>
    <n v="1075"/>
    <x v="292"/>
    <x v="2"/>
    <x v="1"/>
    <n v="4038.58"/>
    <n v="44"/>
    <x v="3"/>
    <n v="3519.29"/>
    <n v="3822.98"/>
    <x v="0"/>
    <n v="0.27"/>
    <s v="Bank Transfer"/>
    <x v="0"/>
    <s v="West-David"/>
    <n v="168211.12"/>
    <n v="154848.76"/>
    <n v="13362.359999999986"/>
  </r>
  <r>
    <n v="1076"/>
    <x v="40"/>
    <x v="4"/>
    <x v="0"/>
    <n v="7160.75"/>
    <n v="30"/>
    <x v="0"/>
    <n v="3519.63"/>
    <n v="3774.65"/>
    <x v="1"/>
    <n v="0.2"/>
    <s v="Credit Card"/>
    <x v="1"/>
    <s v="East-Eve"/>
    <n v="113239.5"/>
    <n v="105588.90000000001"/>
    <n v="7650.5999999999913"/>
  </r>
  <r>
    <n v="1039"/>
    <x v="310"/>
    <x v="4"/>
    <x v="1"/>
    <n v="4422.4799999999996"/>
    <n v="40"/>
    <x v="3"/>
    <n v="3536.46"/>
    <n v="3945.82"/>
    <x v="1"/>
    <n v="0.24"/>
    <s v="Bank Transfer"/>
    <x v="0"/>
    <s v="West-Eve"/>
    <n v="157832.80000000002"/>
    <n v="141458.4"/>
    <n v="16374.400000000023"/>
  </r>
  <r>
    <n v="1090"/>
    <x v="222"/>
    <x v="3"/>
    <x v="2"/>
    <n v="1740.91"/>
    <n v="44"/>
    <x v="0"/>
    <n v="3542.18"/>
    <n v="3578.49"/>
    <x v="0"/>
    <n v="0.12"/>
    <s v="Cash"/>
    <x v="0"/>
    <s v="North-Charlie"/>
    <n v="157453.56"/>
    <n v="155855.91999999998"/>
    <n v="1597.640000000014"/>
  </r>
  <r>
    <n v="1058"/>
    <x v="184"/>
    <x v="4"/>
    <x v="1"/>
    <n v="9333.83"/>
    <n v="39"/>
    <x v="2"/>
    <n v="3542.8"/>
    <n v="3603.02"/>
    <x v="0"/>
    <n v="0.26"/>
    <s v="Cash"/>
    <x v="0"/>
    <s v="West-Eve"/>
    <n v="140517.78"/>
    <n v="138169.20000000001"/>
    <n v="2348.5799999999872"/>
  </r>
  <r>
    <n v="1051"/>
    <x v="229"/>
    <x v="0"/>
    <x v="0"/>
    <n v="198.25"/>
    <n v="12"/>
    <x v="1"/>
    <n v="3544.48"/>
    <n v="3723.66"/>
    <x v="0"/>
    <n v="0.19"/>
    <s v="Cash"/>
    <x v="0"/>
    <s v="East-Bob"/>
    <n v="44683.92"/>
    <n v="42533.760000000002"/>
    <n v="2150.1599999999962"/>
  </r>
  <r>
    <n v="1036"/>
    <x v="154"/>
    <x v="0"/>
    <x v="2"/>
    <n v="3971.23"/>
    <n v="42"/>
    <x v="3"/>
    <n v="3549.43"/>
    <n v="3967.6899999999901"/>
    <x v="1"/>
    <n v="0.14000000000000001"/>
    <s v="Bank Transfer"/>
    <x v="0"/>
    <s v="North-Bob"/>
    <n v="166642.97999999957"/>
    <n v="149076.06"/>
    <n v="17566.919999999576"/>
  </r>
  <r>
    <n v="1053"/>
    <x v="75"/>
    <x v="1"/>
    <x v="3"/>
    <n v="3382.49"/>
    <n v="47"/>
    <x v="1"/>
    <n v="3551.76"/>
    <n v="3696.1"/>
    <x v="0"/>
    <n v="0.15"/>
    <s v="Bank Transfer"/>
    <x v="1"/>
    <s v="South-Alice"/>
    <n v="173716.69999999998"/>
    <n v="166932.72"/>
    <n v="6783.9799999999814"/>
  </r>
  <r>
    <n v="1100"/>
    <x v="256"/>
    <x v="0"/>
    <x v="1"/>
    <n v="7667.96"/>
    <n v="29"/>
    <x v="2"/>
    <n v="3559.56"/>
    <n v="3607.15"/>
    <x v="0"/>
    <n v="0.21"/>
    <s v="Cash"/>
    <x v="1"/>
    <s v="West-Bob"/>
    <n v="104607.35"/>
    <n v="103227.24"/>
    <n v="1380.1100000000006"/>
  </r>
  <r>
    <n v="1049"/>
    <x v="320"/>
    <x v="1"/>
    <x v="0"/>
    <n v="783.55"/>
    <n v="31"/>
    <x v="1"/>
    <n v="3570.24"/>
    <n v="3712.25"/>
    <x v="1"/>
    <n v="0.03"/>
    <s v="Credit Card"/>
    <x v="0"/>
    <s v="East-Alice"/>
    <n v="115079.75"/>
    <n v="110677.43999999999"/>
    <n v="4402.3100000000122"/>
  </r>
  <r>
    <n v="1044"/>
    <x v="321"/>
    <x v="3"/>
    <x v="1"/>
    <n v="8564.7999999999993"/>
    <n v="34"/>
    <x v="2"/>
    <n v="3573.3"/>
    <n v="3740.13"/>
    <x v="0"/>
    <n v="0.01"/>
    <s v="Credit Card"/>
    <x v="0"/>
    <s v="West-Charlie"/>
    <n v="127164.42"/>
    <n v="121492.20000000001"/>
    <n v="5672.2199999999866"/>
  </r>
  <r>
    <n v="1063"/>
    <x v="322"/>
    <x v="0"/>
    <x v="1"/>
    <n v="3098.87"/>
    <n v="39"/>
    <x v="2"/>
    <n v="3577.69"/>
    <n v="3931.25"/>
    <x v="0"/>
    <n v="0.21"/>
    <s v="Cash"/>
    <x v="1"/>
    <s v="West-Bob"/>
    <n v="153318.75"/>
    <n v="139529.91"/>
    <n v="13788.839999999997"/>
  </r>
  <r>
    <n v="1058"/>
    <x v="61"/>
    <x v="4"/>
    <x v="1"/>
    <n v="1193.28"/>
    <n v="29"/>
    <x v="1"/>
    <n v="3578.77"/>
    <n v="3635.02"/>
    <x v="1"/>
    <n v="0.2"/>
    <s v="Bank Transfer"/>
    <x v="1"/>
    <s v="West-Eve"/>
    <n v="105415.58"/>
    <n v="103784.33"/>
    <n v="1631.25"/>
  </r>
  <r>
    <n v="1092"/>
    <x v="29"/>
    <x v="1"/>
    <x v="3"/>
    <n v="7192.33"/>
    <n v="14"/>
    <x v="0"/>
    <n v="3586.58"/>
    <n v="4068.43"/>
    <x v="1"/>
    <n v="0.22"/>
    <s v="Credit Card"/>
    <x v="0"/>
    <s v="South-Alice"/>
    <n v="56958.02"/>
    <n v="50212.119999999995"/>
    <n v="6745.9000000000015"/>
  </r>
  <r>
    <n v="1045"/>
    <x v="89"/>
    <x v="2"/>
    <x v="3"/>
    <n v="3517.4"/>
    <n v="42"/>
    <x v="0"/>
    <n v="3587.74"/>
    <n v="3745.91"/>
    <x v="0"/>
    <n v="0.1"/>
    <s v="Cash"/>
    <x v="0"/>
    <s v="South-David"/>
    <n v="157328.22"/>
    <n v="150685.07999999999"/>
    <n v="6643.140000000014"/>
  </r>
  <r>
    <n v="1095"/>
    <x v="281"/>
    <x v="4"/>
    <x v="0"/>
    <n v="6518.35"/>
    <n v="16"/>
    <x v="1"/>
    <n v="3591.05"/>
    <n v="3625.35"/>
    <x v="0"/>
    <n v="0.05"/>
    <s v="Credit Card"/>
    <x v="1"/>
    <s v="East-Eve"/>
    <n v="58005.599999999999"/>
    <n v="57456.800000000003"/>
    <n v="548.79999999999563"/>
  </r>
  <r>
    <n v="1019"/>
    <x v="73"/>
    <x v="3"/>
    <x v="2"/>
    <n v="2558.92"/>
    <n v="18"/>
    <x v="2"/>
    <n v="3591.14"/>
    <n v="3822.99"/>
    <x v="0"/>
    <n v="0.09"/>
    <s v="Credit Card"/>
    <x v="0"/>
    <s v="North-Charlie"/>
    <n v="68813.819999999992"/>
    <n v="64640.52"/>
    <n v="4173.2999999999956"/>
  </r>
  <r>
    <n v="1005"/>
    <x v="47"/>
    <x v="4"/>
    <x v="0"/>
    <n v="2191.1999999999998"/>
    <n v="28"/>
    <x v="0"/>
    <n v="3592.32"/>
    <n v="3813.48"/>
    <x v="1"/>
    <n v="7.0000000000000007E-2"/>
    <s v="Credit Card"/>
    <x v="1"/>
    <s v="East-Eve"/>
    <n v="106777.44"/>
    <n v="100584.96000000001"/>
    <n v="6192.4799999999959"/>
  </r>
  <r>
    <n v="1099"/>
    <x v="98"/>
    <x v="2"/>
    <x v="0"/>
    <n v="6807.56"/>
    <n v="39"/>
    <x v="1"/>
    <n v="3592.89"/>
    <n v="4004"/>
    <x v="1"/>
    <n v="0.13"/>
    <s v="Cash"/>
    <x v="0"/>
    <s v="East-David"/>
    <n v="156156"/>
    <n v="140122.71"/>
    <n v="16033.290000000008"/>
  </r>
  <r>
    <n v="1007"/>
    <x v="56"/>
    <x v="3"/>
    <x v="0"/>
    <n v="3758.78"/>
    <n v="13"/>
    <x v="0"/>
    <n v="3597.2"/>
    <n v="4071.8199999999902"/>
    <x v="0"/>
    <n v="0.28999999999999998"/>
    <s v="Bank Transfer"/>
    <x v="0"/>
    <s v="East-Charlie"/>
    <n v="52933.659999999873"/>
    <n v="46763.6"/>
    <n v="6170.059999999874"/>
  </r>
  <r>
    <n v="1058"/>
    <x v="179"/>
    <x v="2"/>
    <x v="1"/>
    <n v="4050.45"/>
    <n v="42"/>
    <x v="0"/>
    <n v="3600.95"/>
    <n v="3702.8399999999901"/>
    <x v="0"/>
    <n v="0.01"/>
    <s v="Cash"/>
    <x v="1"/>
    <s v="West-David"/>
    <n v="155519.27999999959"/>
    <n v="151239.9"/>
    <n v="4279.3799999995972"/>
  </r>
  <r>
    <n v="1024"/>
    <x v="43"/>
    <x v="1"/>
    <x v="1"/>
    <n v="1799.77"/>
    <n v="2"/>
    <x v="3"/>
    <n v="3604.93"/>
    <n v="3830.71"/>
    <x v="0"/>
    <n v="0.12"/>
    <s v="Credit Card"/>
    <x v="0"/>
    <s v="West-Alice"/>
    <n v="7661.42"/>
    <n v="7209.86"/>
    <n v="451.5600000000004"/>
  </r>
  <r>
    <n v="1012"/>
    <x v="0"/>
    <x v="4"/>
    <x v="2"/>
    <n v="519.98"/>
    <n v="6"/>
    <x v="0"/>
    <n v="3609.42"/>
    <n v="4082.62"/>
    <x v="0"/>
    <n v="0.3"/>
    <s v="Bank Transfer"/>
    <x v="1"/>
    <s v="North-Eve"/>
    <n v="24495.72"/>
    <n v="21656.52"/>
    <n v="2839.2000000000007"/>
  </r>
  <r>
    <n v="1054"/>
    <x v="53"/>
    <x v="2"/>
    <x v="1"/>
    <n v="4025.88"/>
    <n v="8"/>
    <x v="0"/>
    <n v="3610.21"/>
    <n v="3817.99"/>
    <x v="0"/>
    <n v="0.15"/>
    <s v="Cash"/>
    <x v="1"/>
    <s v="West-David"/>
    <n v="30543.919999999998"/>
    <n v="28881.68"/>
    <n v="1662.239999999998"/>
  </r>
  <r>
    <n v="1083"/>
    <x v="316"/>
    <x v="1"/>
    <x v="1"/>
    <n v="1780.31"/>
    <n v="20"/>
    <x v="0"/>
    <n v="3617.59"/>
    <n v="4003.5"/>
    <x v="1"/>
    <n v="0.01"/>
    <s v="Credit Card"/>
    <x v="1"/>
    <s v="West-Alice"/>
    <n v="80070"/>
    <n v="72351.8"/>
    <n v="7718.1999999999971"/>
  </r>
  <r>
    <n v="1068"/>
    <x v="253"/>
    <x v="0"/>
    <x v="2"/>
    <n v="5118.51"/>
    <n v="22"/>
    <x v="0"/>
    <n v="3619.61"/>
    <n v="3651.42"/>
    <x v="0"/>
    <n v="0.26"/>
    <s v="Bank Transfer"/>
    <x v="0"/>
    <s v="North-Bob"/>
    <n v="80331.240000000005"/>
    <n v="79631.42"/>
    <n v="699.82000000000698"/>
  </r>
  <r>
    <n v="1067"/>
    <x v="323"/>
    <x v="1"/>
    <x v="1"/>
    <n v="6360.67"/>
    <n v="27"/>
    <x v="3"/>
    <n v="3624.97"/>
    <n v="3836.52"/>
    <x v="1"/>
    <n v="0.08"/>
    <s v="Cash"/>
    <x v="0"/>
    <s v="West-Alice"/>
    <n v="103586.04"/>
    <n v="97874.189999999988"/>
    <n v="5711.8500000000058"/>
  </r>
  <r>
    <n v="1087"/>
    <x v="123"/>
    <x v="3"/>
    <x v="0"/>
    <n v="8057.76"/>
    <n v="20"/>
    <x v="3"/>
    <n v="3625.94"/>
    <n v="3880.53"/>
    <x v="1"/>
    <n v="0.24"/>
    <s v="Bank Transfer"/>
    <x v="0"/>
    <s v="East-Charlie"/>
    <n v="77610.600000000006"/>
    <n v="72518.8"/>
    <n v="5091.8000000000029"/>
  </r>
  <r>
    <n v="1019"/>
    <x v="177"/>
    <x v="0"/>
    <x v="0"/>
    <n v="3109.03"/>
    <n v="38"/>
    <x v="0"/>
    <n v="3637.25"/>
    <n v="4096.96"/>
    <x v="0"/>
    <n v="0.09"/>
    <s v="Bank Transfer"/>
    <x v="0"/>
    <s v="East-Bob"/>
    <n v="155684.48000000001"/>
    <n v="138215.5"/>
    <n v="17468.98000000001"/>
  </r>
  <r>
    <n v="1091"/>
    <x v="110"/>
    <x v="1"/>
    <x v="2"/>
    <n v="9610.2099999999991"/>
    <n v="24"/>
    <x v="0"/>
    <n v="3639.3"/>
    <n v="3750.63"/>
    <x v="1"/>
    <n v="0.23"/>
    <s v="Bank Transfer"/>
    <x v="1"/>
    <s v="North-Alice"/>
    <n v="90015.12"/>
    <n v="87343.200000000012"/>
    <n v="2671.9199999999837"/>
  </r>
  <r>
    <n v="1072"/>
    <x v="117"/>
    <x v="0"/>
    <x v="0"/>
    <n v="5490.38"/>
    <n v="26"/>
    <x v="2"/>
    <n v="3640.17"/>
    <n v="4002.63"/>
    <x v="1"/>
    <n v="0.05"/>
    <s v="Credit Card"/>
    <x v="1"/>
    <s v="East-Bob"/>
    <n v="104068.38"/>
    <n v="94644.42"/>
    <n v="9423.9600000000064"/>
  </r>
  <r>
    <n v="1060"/>
    <x v="136"/>
    <x v="0"/>
    <x v="2"/>
    <n v="2661.25"/>
    <n v="11"/>
    <x v="3"/>
    <n v="3648.04"/>
    <n v="4143.51"/>
    <x v="0"/>
    <n v="0.17"/>
    <s v="Credit Card"/>
    <x v="1"/>
    <s v="North-Bob"/>
    <n v="45578.61"/>
    <n v="40128.44"/>
    <n v="5450.1699999999983"/>
  </r>
  <r>
    <n v="1077"/>
    <x v="209"/>
    <x v="1"/>
    <x v="1"/>
    <n v="5405.76"/>
    <n v="5"/>
    <x v="1"/>
    <n v="3650.89"/>
    <n v="3930.06"/>
    <x v="1"/>
    <n v="0.17"/>
    <s v="Bank Transfer"/>
    <x v="0"/>
    <s v="West-Alice"/>
    <n v="19650.3"/>
    <n v="18254.45"/>
    <n v="1395.8499999999985"/>
  </r>
  <r>
    <n v="1070"/>
    <x v="58"/>
    <x v="0"/>
    <x v="3"/>
    <n v="8771.24"/>
    <n v="15"/>
    <x v="1"/>
    <n v="3653.66"/>
    <n v="3896.19"/>
    <x v="1"/>
    <n v="0.03"/>
    <s v="Credit Card"/>
    <x v="1"/>
    <s v="South-Bob"/>
    <n v="58442.85"/>
    <n v="54804.899999999994"/>
    <n v="3637.9500000000044"/>
  </r>
  <r>
    <n v="1001"/>
    <x v="47"/>
    <x v="1"/>
    <x v="2"/>
    <n v="715.81"/>
    <n v="8"/>
    <x v="1"/>
    <n v="3657.91"/>
    <n v="3729.27"/>
    <x v="1"/>
    <n v="0.09"/>
    <s v="Bank Transfer"/>
    <x v="1"/>
    <s v="North-Alice"/>
    <n v="29834.16"/>
    <n v="29263.279999999999"/>
    <n v="570.88000000000102"/>
  </r>
  <r>
    <n v="1069"/>
    <x v="98"/>
    <x v="0"/>
    <x v="1"/>
    <n v="1688.58"/>
    <n v="46"/>
    <x v="2"/>
    <n v="3663.51"/>
    <n v="4007.98"/>
    <x v="1"/>
    <n v="0.13"/>
    <s v="Cash"/>
    <x v="0"/>
    <s v="West-Bob"/>
    <n v="184367.08"/>
    <n v="168521.46000000002"/>
    <n v="15845.619999999966"/>
  </r>
  <r>
    <n v="1092"/>
    <x v="159"/>
    <x v="0"/>
    <x v="0"/>
    <n v="5426.42"/>
    <n v="47"/>
    <x v="3"/>
    <n v="3681.53"/>
    <n v="4076.96"/>
    <x v="0"/>
    <n v="0.17"/>
    <s v="Cash"/>
    <x v="1"/>
    <s v="East-Bob"/>
    <n v="191617.12"/>
    <n v="173031.91"/>
    <n v="18585.209999999992"/>
  </r>
  <r>
    <n v="1100"/>
    <x v="263"/>
    <x v="2"/>
    <x v="1"/>
    <n v="1629.47"/>
    <n v="39"/>
    <x v="1"/>
    <n v="3685.03"/>
    <n v="3743.39"/>
    <x v="1"/>
    <n v="0.01"/>
    <s v="Bank Transfer"/>
    <x v="0"/>
    <s v="West-David"/>
    <n v="145992.21"/>
    <n v="143716.17000000001"/>
    <n v="2276.039999999979"/>
  </r>
  <r>
    <n v="1051"/>
    <x v="196"/>
    <x v="4"/>
    <x v="2"/>
    <n v="4979.3599999999997"/>
    <n v="14"/>
    <x v="1"/>
    <n v="3686.81"/>
    <n v="3710.92"/>
    <x v="1"/>
    <n v="0.1"/>
    <s v="Bank Transfer"/>
    <x v="1"/>
    <s v="North-Eve"/>
    <n v="51952.880000000005"/>
    <n v="51615.34"/>
    <n v="337.54000000000815"/>
  </r>
  <r>
    <n v="1092"/>
    <x v="246"/>
    <x v="2"/>
    <x v="1"/>
    <n v="6939.75"/>
    <n v="26"/>
    <x v="3"/>
    <n v="3697.29"/>
    <n v="4003.96"/>
    <x v="1"/>
    <n v="0.24"/>
    <s v="Cash"/>
    <x v="0"/>
    <s v="West-David"/>
    <n v="104102.96"/>
    <n v="96129.54"/>
    <n v="7973.4200000000128"/>
  </r>
  <r>
    <n v="1087"/>
    <x v="324"/>
    <x v="4"/>
    <x v="3"/>
    <n v="7698.92"/>
    <n v="46"/>
    <x v="3"/>
    <n v="3702.51"/>
    <n v="3964.65"/>
    <x v="1"/>
    <n v="0.12"/>
    <s v="Bank Transfer"/>
    <x v="0"/>
    <s v="South-Eve"/>
    <n v="182373.9"/>
    <n v="170315.46000000002"/>
    <n v="12058.439999999973"/>
  </r>
  <r>
    <n v="1044"/>
    <x v="176"/>
    <x v="3"/>
    <x v="1"/>
    <n v="4860.8100000000004"/>
    <n v="6"/>
    <x v="1"/>
    <n v="3703.93"/>
    <n v="3840.24"/>
    <x v="1"/>
    <n v="7.0000000000000007E-2"/>
    <s v="Credit Card"/>
    <x v="0"/>
    <s v="West-Charlie"/>
    <n v="23041.439999999999"/>
    <n v="22223.579999999998"/>
    <n v="817.86000000000058"/>
  </r>
  <r>
    <n v="1003"/>
    <x v="76"/>
    <x v="4"/>
    <x v="0"/>
    <n v="5215.3100000000004"/>
    <n v="11"/>
    <x v="2"/>
    <n v="3706.78"/>
    <n v="3862.26"/>
    <x v="1"/>
    <n v="0.22"/>
    <s v="Credit Card"/>
    <x v="1"/>
    <s v="East-Eve"/>
    <n v="42484.86"/>
    <n v="40774.58"/>
    <n v="1710.2799999999988"/>
  </r>
  <r>
    <n v="1032"/>
    <x v="122"/>
    <x v="2"/>
    <x v="2"/>
    <n v="2286.44"/>
    <n v="45"/>
    <x v="0"/>
    <n v="3712.35"/>
    <n v="3780.88"/>
    <x v="1"/>
    <n v="7.0000000000000007E-2"/>
    <s v="Cash"/>
    <x v="1"/>
    <s v="North-David"/>
    <n v="170139.6"/>
    <n v="167055.75"/>
    <n v="3083.8500000000058"/>
  </r>
  <r>
    <n v="1048"/>
    <x v="7"/>
    <x v="1"/>
    <x v="3"/>
    <n v="9688.52"/>
    <n v="6"/>
    <x v="1"/>
    <n v="3717.3"/>
    <n v="4061.37"/>
    <x v="1"/>
    <n v="0.03"/>
    <s v="Bank Transfer"/>
    <x v="1"/>
    <s v="South-Alice"/>
    <n v="24368.22"/>
    <n v="22303.800000000003"/>
    <n v="2064.4199999999983"/>
  </r>
  <r>
    <n v="1087"/>
    <x v="114"/>
    <x v="3"/>
    <x v="2"/>
    <n v="6701.79"/>
    <n v="21"/>
    <x v="2"/>
    <n v="3724.38"/>
    <n v="3988.7"/>
    <x v="1"/>
    <n v="0.03"/>
    <s v="Bank Transfer"/>
    <x v="1"/>
    <s v="North-Charlie"/>
    <n v="83762.7"/>
    <n v="78211.98"/>
    <n v="5550.7200000000012"/>
  </r>
  <r>
    <n v="1020"/>
    <x v="257"/>
    <x v="3"/>
    <x v="0"/>
    <n v="9705.5499999999993"/>
    <n v="4"/>
    <x v="0"/>
    <n v="3730"/>
    <n v="3893.6"/>
    <x v="1"/>
    <n v="0.25"/>
    <s v="Bank Transfer"/>
    <x v="1"/>
    <s v="East-Charlie"/>
    <n v="15574.4"/>
    <n v="14920"/>
    <n v="654.39999999999964"/>
  </r>
  <r>
    <n v="1090"/>
    <x v="237"/>
    <x v="3"/>
    <x v="2"/>
    <n v="5976.25"/>
    <n v="41"/>
    <x v="0"/>
    <n v="3736.88"/>
    <n v="3946.77"/>
    <x v="0"/>
    <n v="0.06"/>
    <s v="Credit Card"/>
    <x v="0"/>
    <s v="North-Charlie"/>
    <n v="161817.57"/>
    <n v="153212.08000000002"/>
    <n v="8605.4899999999907"/>
  </r>
  <r>
    <n v="1053"/>
    <x v="203"/>
    <x v="2"/>
    <x v="0"/>
    <n v="7724.57"/>
    <n v="29"/>
    <x v="1"/>
    <n v="3741.3"/>
    <n v="4061.04"/>
    <x v="0"/>
    <n v="0.21"/>
    <s v="Credit Card"/>
    <x v="0"/>
    <s v="East-David"/>
    <n v="117770.16"/>
    <n v="108497.70000000001"/>
    <n v="9272.4599999999919"/>
  </r>
  <r>
    <n v="1086"/>
    <x v="312"/>
    <x v="3"/>
    <x v="1"/>
    <n v="7212.69"/>
    <n v="32"/>
    <x v="1"/>
    <n v="3743.59"/>
    <n v="4116.38"/>
    <x v="0"/>
    <n v="0.11"/>
    <s v="Cash"/>
    <x v="0"/>
    <s v="West-Charlie"/>
    <n v="131724.16"/>
    <n v="119794.88"/>
    <n v="11929.279999999999"/>
  </r>
  <r>
    <n v="1009"/>
    <x v="178"/>
    <x v="4"/>
    <x v="1"/>
    <n v="182.8"/>
    <n v="16"/>
    <x v="0"/>
    <n v="3745.69"/>
    <n v="3883.77"/>
    <x v="0"/>
    <n v="0.18"/>
    <s v="Bank Transfer"/>
    <x v="1"/>
    <s v="West-Eve"/>
    <n v="62140.32"/>
    <n v="59931.040000000001"/>
    <n v="2209.2799999999988"/>
  </r>
  <r>
    <n v="1013"/>
    <x v="35"/>
    <x v="1"/>
    <x v="0"/>
    <n v="4250.79"/>
    <n v="26"/>
    <x v="0"/>
    <n v="3749.12"/>
    <n v="4138.83"/>
    <x v="1"/>
    <n v="0.13"/>
    <s v="Credit Card"/>
    <x v="0"/>
    <s v="East-Alice"/>
    <n v="107609.58"/>
    <n v="97477.119999999995"/>
    <n v="10132.460000000006"/>
  </r>
  <r>
    <n v="1052"/>
    <x v="164"/>
    <x v="3"/>
    <x v="1"/>
    <n v="9509.5499999999993"/>
    <n v="2"/>
    <x v="3"/>
    <n v="3752.68"/>
    <n v="4017.91"/>
    <x v="0"/>
    <n v="0.16"/>
    <s v="Bank Transfer"/>
    <x v="0"/>
    <s v="West-Charlie"/>
    <n v="8035.82"/>
    <n v="7505.36"/>
    <n v="530.46"/>
  </r>
  <r>
    <n v="1050"/>
    <x v="177"/>
    <x v="0"/>
    <x v="3"/>
    <n v="5105.78"/>
    <n v="23"/>
    <x v="3"/>
    <n v="3756.06"/>
    <n v="4255.7299999999996"/>
    <x v="0"/>
    <n v="0.04"/>
    <s v="Cash"/>
    <x v="0"/>
    <s v="South-Bob"/>
    <n v="97881.79"/>
    <n v="86389.38"/>
    <n v="11492.409999999989"/>
  </r>
  <r>
    <n v="1063"/>
    <x v="35"/>
    <x v="0"/>
    <x v="2"/>
    <n v="9956.75"/>
    <n v="27"/>
    <x v="0"/>
    <n v="3760.25"/>
    <n v="4147.1099999999997"/>
    <x v="1"/>
    <n v="0.22"/>
    <s v="Cash"/>
    <x v="0"/>
    <s v="North-Bob"/>
    <n v="111971.96999999999"/>
    <n v="101526.75"/>
    <n v="10445.219999999987"/>
  </r>
  <r>
    <n v="1070"/>
    <x v="267"/>
    <x v="1"/>
    <x v="1"/>
    <n v="100.12"/>
    <n v="8"/>
    <x v="0"/>
    <n v="3762.27"/>
    <n v="4166.95"/>
    <x v="0"/>
    <n v="0.16"/>
    <s v="Bank Transfer"/>
    <x v="0"/>
    <s v="West-Alice"/>
    <n v="33335.599999999999"/>
    <n v="30098.16"/>
    <n v="3237.4399999999987"/>
  </r>
  <r>
    <n v="1050"/>
    <x v="142"/>
    <x v="1"/>
    <x v="2"/>
    <n v="8086.27"/>
    <n v="6"/>
    <x v="3"/>
    <n v="3763.26"/>
    <n v="4102.72"/>
    <x v="1"/>
    <n v="0.11"/>
    <s v="Credit Card"/>
    <x v="1"/>
    <s v="North-Alice"/>
    <n v="24616.32"/>
    <n v="22579.56"/>
    <n v="2036.7599999999984"/>
  </r>
  <r>
    <n v="1051"/>
    <x v="148"/>
    <x v="1"/>
    <x v="2"/>
    <n v="6833.11"/>
    <n v="34"/>
    <x v="3"/>
    <n v="3764.14"/>
    <n v="4100.3999999999996"/>
    <x v="0"/>
    <n v="0.05"/>
    <s v="Bank Transfer"/>
    <x v="1"/>
    <s v="North-Alice"/>
    <n v="139413.59999999998"/>
    <n v="127980.76"/>
    <n v="11432.839999999982"/>
  </r>
  <r>
    <n v="1007"/>
    <x v="178"/>
    <x v="3"/>
    <x v="1"/>
    <n v="2491.21"/>
    <n v="13"/>
    <x v="3"/>
    <n v="3765.46"/>
    <n v="3860.56"/>
    <x v="0"/>
    <n v="0.22"/>
    <s v="Cash"/>
    <x v="1"/>
    <s v="West-Charlie"/>
    <n v="50187.28"/>
    <n v="48950.98"/>
    <n v="1236.2999999999956"/>
  </r>
  <r>
    <n v="1021"/>
    <x v="76"/>
    <x v="4"/>
    <x v="2"/>
    <n v="213.04"/>
    <n v="15"/>
    <x v="2"/>
    <n v="3771.27"/>
    <n v="4212.55"/>
    <x v="0"/>
    <n v="0.16"/>
    <s v="Credit Card"/>
    <x v="1"/>
    <s v="North-Eve"/>
    <n v="63188.25"/>
    <n v="56569.05"/>
    <n v="6619.1999999999971"/>
  </r>
  <r>
    <n v="1035"/>
    <x v="285"/>
    <x v="1"/>
    <x v="2"/>
    <n v="8387.48"/>
    <n v="28"/>
    <x v="3"/>
    <n v="3771.38"/>
    <n v="4234.92"/>
    <x v="1"/>
    <n v="0.28000000000000003"/>
    <s v="Credit Card"/>
    <x v="1"/>
    <s v="North-Alice"/>
    <n v="118577.76000000001"/>
    <n v="105598.64"/>
    <n v="12979.12000000001"/>
  </r>
  <r>
    <n v="1045"/>
    <x v="114"/>
    <x v="3"/>
    <x v="3"/>
    <n v="9613.11"/>
    <n v="35"/>
    <x v="3"/>
    <n v="3777.94"/>
    <n v="4188.66"/>
    <x v="1"/>
    <n v="0.17"/>
    <s v="Bank Transfer"/>
    <x v="0"/>
    <s v="South-Charlie"/>
    <n v="146603.1"/>
    <n v="132227.9"/>
    <n v="14375.200000000012"/>
  </r>
  <r>
    <n v="1017"/>
    <x v="244"/>
    <x v="0"/>
    <x v="2"/>
    <n v="2401.81"/>
    <n v="28"/>
    <x v="0"/>
    <n v="3780.91"/>
    <n v="3892.73"/>
    <x v="0"/>
    <n v="0.1"/>
    <s v="Cash"/>
    <x v="1"/>
    <s v="North-Bob"/>
    <n v="108996.44"/>
    <n v="105865.48"/>
    <n v="3130.9600000000064"/>
  </r>
  <r>
    <n v="1060"/>
    <x v="40"/>
    <x v="4"/>
    <x v="0"/>
    <n v="3224.71"/>
    <n v="44"/>
    <x v="0"/>
    <n v="3784.96"/>
    <n v="4276.99"/>
    <x v="1"/>
    <n v="0.06"/>
    <s v="Bank Transfer"/>
    <x v="1"/>
    <s v="East-Eve"/>
    <n v="188187.56"/>
    <n v="166538.23999999999"/>
    <n v="21649.320000000007"/>
  </r>
  <r>
    <n v="1070"/>
    <x v="45"/>
    <x v="3"/>
    <x v="3"/>
    <n v="1108.74"/>
    <n v="14"/>
    <x v="3"/>
    <n v="3796.79"/>
    <n v="3947.5"/>
    <x v="0"/>
    <n v="0.24"/>
    <s v="Bank Transfer"/>
    <x v="0"/>
    <s v="South-Charlie"/>
    <n v="55265"/>
    <n v="53155.06"/>
    <n v="2109.9400000000023"/>
  </r>
  <r>
    <n v="1079"/>
    <x v="118"/>
    <x v="1"/>
    <x v="2"/>
    <n v="9972.66"/>
    <n v="8"/>
    <x v="0"/>
    <n v="3808.23"/>
    <n v="3891.62"/>
    <x v="0"/>
    <n v="0.26"/>
    <s v="Bank Transfer"/>
    <x v="0"/>
    <s v="North-Alice"/>
    <n v="31132.959999999999"/>
    <n v="30465.84"/>
    <n v="667.11999999999898"/>
  </r>
  <r>
    <n v="1093"/>
    <x v="140"/>
    <x v="2"/>
    <x v="1"/>
    <n v="4040.25"/>
    <n v="19"/>
    <x v="1"/>
    <n v="3808.59"/>
    <n v="3844.51"/>
    <x v="1"/>
    <n v="0.21"/>
    <s v="Credit Card"/>
    <x v="0"/>
    <s v="West-David"/>
    <n v="73045.69"/>
    <n v="72363.210000000006"/>
    <n v="682.47999999999593"/>
  </r>
  <r>
    <n v="1035"/>
    <x v="314"/>
    <x v="2"/>
    <x v="3"/>
    <n v="3817.14"/>
    <n v="30"/>
    <x v="1"/>
    <n v="3813.62"/>
    <n v="3839.72"/>
    <x v="1"/>
    <n v="0.21"/>
    <s v="Credit Card"/>
    <x v="0"/>
    <s v="South-David"/>
    <n v="115191.59999999999"/>
    <n v="114408.59999999999"/>
    <n v="783"/>
  </r>
  <r>
    <n v="1093"/>
    <x v="57"/>
    <x v="0"/>
    <x v="1"/>
    <n v="4384.0200000000004"/>
    <n v="17"/>
    <x v="3"/>
    <n v="3816.39"/>
    <n v="4209.4399999999996"/>
    <x v="0"/>
    <n v="0.11"/>
    <s v="Cash"/>
    <x v="1"/>
    <s v="West-Bob"/>
    <n v="71560.479999999996"/>
    <n v="64878.63"/>
    <n v="6681.8499999999985"/>
  </r>
  <r>
    <n v="1012"/>
    <x v="129"/>
    <x v="2"/>
    <x v="0"/>
    <n v="5650.72"/>
    <n v="33"/>
    <x v="2"/>
    <n v="3831.09"/>
    <n v="3908.37"/>
    <x v="1"/>
    <n v="0.28999999999999998"/>
    <s v="Cash"/>
    <x v="1"/>
    <s v="East-David"/>
    <n v="128976.20999999999"/>
    <n v="126425.97"/>
    <n v="2550.2399999999907"/>
  </r>
  <r>
    <n v="1045"/>
    <x v="15"/>
    <x v="2"/>
    <x v="2"/>
    <n v="2768.17"/>
    <n v="36"/>
    <x v="1"/>
    <n v="3835.64"/>
    <n v="4076.77"/>
    <x v="0"/>
    <n v="0.1"/>
    <s v="Credit Card"/>
    <x v="1"/>
    <s v="North-David"/>
    <n v="146763.72"/>
    <n v="138083.04"/>
    <n v="8680.679999999993"/>
  </r>
  <r>
    <n v="1089"/>
    <x v="34"/>
    <x v="2"/>
    <x v="2"/>
    <n v="7405.38"/>
    <n v="15"/>
    <x v="2"/>
    <n v="3841.05"/>
    <n v="4323.62"/>
    <x v="0"/>
    <n v="0.28999999999999998"/>
    <s v="Credit Card"/>
    <x v="1"/>
    <s v="North-David"/>
    <n v="64854.299999999996"/>
    <n v="57615.75"/>
    <n v="7238.5499999999956"/>
  </r>
  <r>
    <n v="1046"/>
    <x v="107"/>
    <x v="4"/>
    <x v="2"/>
    <n v="485.49"/>
    <n v="17"/>
    <x v="3"/>
    <n v="3850.99"/>
    <n v="4045.3399999999901"/>
    <x v="0"/>
    <n v="0.16"/>
    <s v="Credit Card"/>
    <x v="0"/>
    <s v="North-Eve"/>
    <n v="68770.779999999839"/>
    <n v="65466.829999999994"/>
    <n v="3303.9499999998443"/>
  </r>
  <r>
    <n v="1089"/>
    <x v="309"/>
    <x v="2"/>
    <x v="2"/>
    <n v="7751.92"/>
    <n v="43"/>
    <x v="3"/>
    <n v="3851.45"/>
    <n v="4186.9799999999996"/>
    <x v="0"/>
    <n v="0.3"/>
    <s v="Credit Card"/>
    <x v="0"/>
    <s v="North-David"/>
    <n v="180040.13999999998"/>
    <n v="165612.35"/>
    <n v="14427.789999999979"/>
  </r>
  <r>
    <n v="1025"/>
    <x v="44"/>
    <x v="2"/>
    <x v="2"/>
    <n v="2457.65"/>
    <n v="47"/>
    <x v="3"/>
    <n v="3861.61"/>
    <n v="3998.91"/>
    <x v="1"/>
    <n v="0.25"/>
    <s v="Credit Card"/>
    <x v="0"/>
    <s v="North-David"/>
    <n v="187948.77"/>
    <n v="181495.67"/>
    <n v="6453.0999999999767"/>
  </r>
  <r>
    <n v="1016"/>
    <x v="296"/>
    <x v="4"/>
    <x v="0"/>
    <n v="4309.76"/>
    <n v="38"/>
    <x v="1"/>
    <n v="3883.38"/>
    <n v="4152.72"/>
    <x v="0"/>
    <n v="0.26"/>
    <s v="Cash"/>
    <x v="0"/>
    <s v="East-Eve"/>
    <n v="157803.36000000002"/>
    <n v="147568.44"/>
    <n v="10234.920000000013"/>
  </r>
  <r>
    <n v="1088"/>
    <x v="92"/>
    <x v="1"/>
    <x v="3"/>
    <n v="1758.16"/>
    <n v="11"/>
    <x v="2"/>
    <n v="3884.13"/>
    <n v="3915.41"/>
    <x v="0"/>
    <n v="0.02"/>
    <s v="Cash"/>
    <x v="0"/>
    <s v="South-Alice"/>
    <n v="43069.509999999995"/>
    <n v="42725.43"/>
    <n v="344.07999999999447"/>
  </r>
  <r>
    <n v="1098"/>
    <x v="173"/>
    <x v="4"/>
    <x v="0"/>
    <n v="3419.26"/>
    <n v="28"/>
    <x v="1"/>
    <n v="3895.62"/>
    <n v="4055.44"/>
    <x v="1"/>
    <n v="0.03"/>
    <s v="Bank Transfer"/>
    <x v="1"/>
    <s v="East-Eve"/>
    <n v="113552.32000000001"/>
    <n v="109077.36"/>
    <n v="4474.9600000000064"/>
  </r>
  <r>
    <n v="1038"/>
    <x v="29"/>
    <x v="1"/>
    <x v="0"/>
    <n v="5529.35"/>
    <n v="16"/>
    <x v="3"/>
    <n v="3899.7"/>
    <n v="4228.18"/>
    <x v="1"/>
    <n v="0.27"/>
    <s v="Cash"/>
    <x v="1"/>
    <s v="East-Alice"/>
    <n v="67650.880000000005"/>
    <n v="62395.199999999997"/>
    <n v="5255.6800000000076"/>
  </r>
  <r>
    <n v="1019"/>
    <x v="142"/>
    <x v="1"/>
    <x v="0"/>
    <n v="6917.45"/>
    <n v="28"/>
    <x v="3"/>
    <n v="3907.86"/>
    <n v="4205.37"/>
    <x v="1"/>
    <n v="0.09"/>
    <s v="Credit Card"/>
    <x v="0"/>
    <s v="East-Alice"/>
    <n v="117750.36"/>
    <n v="109420.08"/>
    <n v="8330.2799999999988"/>
  </r>
  <r>
    <n v="1089"/>
    <x v="44"/>
    <x v="4"/>
    <x v="2"/>
    <n v="9029.2099999999991"/>
    <n v="35"/>
    <x v="3"/>
    <n v="3925.85"/>
    <n v="4082.1099999999901"/>
    <x v="1"/>
    <n v="0.22"/>
    <s v="Cash"/>
    <x v="0"/>
    <s v="North-Eve"/>
    <n v="142873.84999999966"/>
    <n v="137404.75"/>
    <n v="5469.0999999996566"/>
  </r>
  <r>
    <n v="1030"/>
    <x v="255"/>
    <x v="3"/>
    <x v="1"/>
    <n v="4478.71"/>
    <n v="5"/>
    <x v="0"/>
    <n v="3932.14"/>
    <n v="4082.7599999999902"/>
    <x v="1"/>
    <n v="0.26"/>
    <s v="Credit Card"/>
    <x v="0"/>
    <s v="West-Charlie"/>
    <n v="20413.799999999952"/>
    <n v="19660.7"/>
    <n v="753.09999999995125"/>
  </r>
  <r>
    <n v="1092"/>
    <x v="0"/>
    <x v="4"/>
    <x v="0"/>
    <n v="6528.29"/>
    <n v="28"/>
    <x v="0"/>
    <n v="3936.69"/>
    <n v="4362.51"/>
    <x v="0"/>
    <n v="7.0000000000000007E-2"/>
    <s v="Credit Card"/>
    <x v="1"/>
    <s v="East-Eve"/>
    <n v="122150.28"/>
    <n v="110227.32"/>
    <n v="11922.959999999992"/>
  </r>
  <r>
    <n v="1071"/>
    <x v="126"/>
    <x v="2"/>
    <x v="2"/>
    <n v="7262.09"/>
    <n v="47"/>
    <x v="2"/>
    <n v="3942.34"/>
    <n v="4142.09"/>
    <x v="0"/>
    <n v="0.03"/>
    <s v="Credit Card"/>
    <x v="1"/>
    <s v="North-David"/>
    <n v="194678.23"/>
    <n v="185289.98"/>
    <n v="9388.25"/>
  </r>
  <r>
    <n v="1091"/>
    <x v="325"/>
    <x v="4"/>
    <x v="1"/>
    <n v="9146.51"/>
    <n v="36"/>
    <x v="1"/>
    <n v="3951.59"/>
    <n v="4387.01"/>
    <x v="1"/>
    <n v="7.0000000000000007E-2"/>
    <s v="Bank Transfer"/>
    <x v="1"/>
    <s v="West-Eve"/>
    <n v="157932.36000000002"/>
    <n v="142257.24"/>
    <n v="15675.120000000024"/>
  </r>
  <r>
    <n v="1097"/>
    <x v="298"/>
    <x v="1"/>
    <x v="1"/>
    <n v="1099.68"/>
    <n v="27"/>
    <x v="1"/>
    <n v="3955.19"/>
    <n v="4393.68"/>
    <x v="0"/>
    <n v="0.04"/>
    <s v="Credit Card"/>
    <x v="0"/>
    <s v="West-Alice"/>
    <n v="118629.36000000002"/>
    <n v="106790.13"/>
    <n v="11839.23000000001"/>
  </r>
  <r>
    <n v="1096"/>
    <x v="161"/>
    <x v="3"/>
    <x v="1"/>
    <n v="485.41"/>
    <n v="38"/>
    <x v="1"/>
    <n v="3955.66"/>
    <n v="4270.59"/>
    <x v="0"/>
    <n v="0.15"/>
    <s v="Credit Card"/>
    <x v="0"/>
    <s v="West-Charlie"/>
    <n v="162282.42000000001"/>
    <n v="150315.07999999999"/>
    <n v="11967.340000000026"/>
  </r>
  <r>
    <n v="1028"/>
    <x v="215"/>
    <x v="3"/>
    <x v="3"/>
    <n v="2490.8200000000002"/>
    <n v="41"/>
    <x v="0"/>
    <n v="3956.03"/>
    <n v="4163.68"/>
    <x v="1"/>
    <n v="0.12"/>
    <s v="Bank Transfer"/>
    <x v="1"/>
    <s v="South-Charlie"/>
    <n v="170710.88"/>
    <n v="162197.23000000001"/>
    <n v="8513.6499999999942"/>
  </r>
  <r>
    <n v="1047"/>
    <x v="122"/>
    <x v="4"/>
    <x v="1"/>
    <n v="7146.06"/>
    <n v="16"/>
    <x v="0"/>
    <n v="3966.86"/>
    <n v="4321.04"/>
    <x v="0"/>
    <n v="0.23"/>
    <s v="Credit Card"/>
    <x v="1"/>
    <s v="West-Eve"/>
    <n v="69136.639999999999"/>
    <n v="63469.760000000002"/>
    <n v="5666.8799999999974"/>
  </r>
  <r>
    <n v="1007"/>
    <x v="129"/>
    <x v="3"/>
    <x v="0"/>
    <n v="1833.72"/>
    <n v="43"/>
    <x v="3"/>
    <n v="3967.25"/>
    <n v="4272.92"/>
    <x v="1"/>
    <n v="0.27"/>
    <s v="Credit Card"/>
    <x v="0"/>
    <s v="East-Charlie"/>
    <n v="183735.56"/>
    <n v="170591.75"/>
    <n v="13143.809999999998"/>
  </r>
  <r>
    <n v="1096"/>
    <x v="303"/>
    <x v="0"/>
    <x v="2"/>
    <n v="4815.72"/>
    <n v="30"/>
    <x v="1"/>
    <n v="3969.86"/>
    <n v="4281.79"/>
    <x v="0"/>
    <n v="0.08"/>
    <s v="Bank Transfer"/>
    <x v="1"/>
    <s v="North-Bob"/>
    <n v="128453.7"/>
    <n v="119095.8"/>
    <n v="9357.8999999999942"/>
  </r>
  <r>
    <n v="1060"/>
    <x v="215"/>
    <x v="2"/>
    <x v="2"/>
    <n v="1756.48"/>
    <n v="5"/>
    <x v="3"/>
    <n v="3970.08"/>
    <n v="4096.4799999999996"/>
    <x v="0"/>
    <n v="0.13"/>
    <s v="Cash"/>
    <x v="1"/>
    <s v="North-David"/>
    <n v="20482.399999999998"/>
    <n v="19850.400000000001"/>
    <n v="631.99999999999636"/>
  </r>
  <r>
    <n v="1051"/>
    <x v="242"/>
    <x v="4"/>
    <x v="3"/>
    <n v="6339.45"/>
    <n v="8"/>
    <x v="2"/>
    <n v="3970.37"/>
    <n v="4257.5199999999904"/>
    <x v="1"/>
    <n v="0.11"/>
    <s v="Cash"/>
    <x v="1"/>
    <s v="South-Eve"/>
    <n v="34060.159999999923"/>
    <n v="31762.959999999999"/>
    <n v="2297.1999999999243"/>
  </r>
  <r>
    <n v="1060"/>
    <x v="42"/>
    <x v="0"/>
    <x v="0"/>
    <n v="8371.25"/>
    <n v="16"/>
    <x v="0"/>
    <n v="3975.99"/>
    <n v="4422.59"/>
    <x v="1"/>
    <n v="0.24"/>
    <s v="Cash"/>
    <x v="0"/>
    <s v="East-Bob"/>
    <n v="70761.440000000002"/>
    <n v="63615.839999999997"/>
    <n v="7145.6000000000058"/>
  </r>
  <r>
    <n v="1004"/>
    <x v="14"/>
    <x v="1"/>
    <x v="2"/>
    <n v="5198.5600000000004"/>
    <n v="36"/>
    <x v="2"/>
    <n v="3981.2"/>
    <n v="4432.3499999999904"/>
    <x v="1"/>
    <n v="0.14000000000000001"/>
    <s v="Cash"/>
    <x v="0"/>
    <s v="North-Alice"/>
    <n v="159564.59999999966"/>
    <n v="143323.19999999998"/>
    <n v="16241.399999999674"/>
  </r>
  <r>
    <n v="1087"/>
    <x v="295"/>
    <x v="3"/>
    <x v="1"/>
    <n v="9472.66"/>
    <n v="10"/>
    <x v="1"/>
    <n v="3988.52"/>
    <n v="4240.2299999999996"/>
    <x v="1"/>
    <n v="0.05"/>
    <s v="Credit Card"/>
    <x v="0"/>
    <s v="West-Charlie"/>
    <n v="42402.299999999996"/>
    <n v="39885.199999999997"/>
    <n v="2517.0999999999985"/>
  </r>
  <r>
    <n v="1035"/>
    <x v="50"/>
    <x v="1"/>
    <x v="1"/>
    <n v="2049.56"/>
    <n v="5"/>
    <x v="0"/>
    <n v="3991.69"/>
    <n v="4454.97"/>
    <x v="1"/>
    <n v="0.14000000000000001"/>
    <s v="Credit Card"/>
    <x v="1"/>
    <s v="West-Alice"/>
    <n v="22274.850000000002"/>
    <n v="19958.45"/>
    <n v="2316.4000000000015"/>
  </r>
  <r>
    <n v="1026"/>
    <x v="312"/>
    <x v="0"/>
    <x v="3"/>
    <n v="927.19"/>
    <n v="4"/>
    <x v="1"/>
    <n v="3993.39"/>
    <n v="4288.3"/>
    <x v="1"/>
    <n v="0.13"/>
    <s v="Credit Card"/>
    <x v="0"/>
    <s v="South-Bob"/>
    <n v="17153.2"/>
    <n v="15973.56"/>
    <n v="1179.6400000000012"/>
  </r>
  <r>
    <n v="1063"/>
    <x v="71"/>
    <x v="0"/>
    <x v="3"/>
    <n v="5917.1"/>
    <n v="25"/>
    <x v="1"/>
    <n v="3997.1"/>
    <n v="4212.6499999999996"/>
    <x v="1"/>
    <n v="0.22"/>
    <s v="Cash"/>
    <x v="0"/>
    <s v="South-Bob"/>
    <n v="105316.24999999999"/>
    <n v="99927.5"/>
    <n v="5388.7499999999854"/>
  </r>
  <r>
    <n v="1022"/>
    <x v="169"/>
    <x v="0"/>
    <x v="1"/>
    <n v="8640.14"/>
    <n v="45"/>
    <x v="3"/>
    <n v="4020.09"/>
    <n v="4087.91"/>
    <x v="0"/>
    <n v="0.06"/>
    <s v="Bank Transfer"/>
    <x v="0"/>
    <s v="West-Bob"/>
    <n v="183955.94999999998"/>
    <n v="180904.05000000002"/>
    <n v="3051.8999999999651"/>
  </r>
  <r>
    <n v="1002"/>
    <x v="194"/>
    <x v="2"/>
    <x v="2"/>
    <n v="6810.35"/>
    <n v="17"/>
    <x v="3"/>
    <n v="4024.76"/>
    <n v="4420.1499999999996"/>
    <x v="0"/>
    <n v="0.04"/>
    <s v="Cash"/>
    <x v="0"/>
    <s v="North-David"/>
    <n v="75142.549999999988"/>
    <n v="68420.92"/>
    <n v="6721.6299999999901"/>
  </r>
  <r>
    <n v="1080"/>
    <x v="174"/>
    <x v="0"/>
    <x v="3"/>
    <n v="4224"/>
    <n v="47"/>
    <x v="3"/>
    <n v="4035.33"/>
    <n v="4211.25"/>
    <x v="0"/>
    <n v="7.0000000000000007E-2"/>
    <s v="Bank Transfer"/>
    <x v="0"/>
    <s v="South-Bob"/>
    <n v="197928.75"/>
    <n v="189660.51"/>
    <n v="8268.2399999999907"/>
  </r>
  <r>
    <n v="1090"/>
    <x v="196"/>
    <x v="4"/>
    <x v="2"/>
    <n v="1028.3900000000001"/>
    <n v="14"/>
    <x v="3"/>
    <n v="4037.21"/>
    <n v="4323.71"/>
    <x v="0"/>
    <n v="0.27"/>
    <s v="Credit Card"/>
    <x v="0"/>
    <s v="North-Eve"/>
    <n v="60531.94"/>
    <n v="56520.94"/>
    <n v="4011"/>
  </r>
  <r>
    <n v="1036"/>
    <x v="101"/>
    <x v="3"/>
    <x v="1"/>
    <n v="7739.11"/>
    <n v="25"/>
    <x v="3"/>
    <n v="4037.73"/>
    <n v="4446.45"/>
    <x v="0"/>
    <n v="0.09"/>
    <s v="Bank Transfer"/>
    <x v="0"/>
    <s v="West-Charlie"/>
    <n v="111161.25"/>
    <n v="100943.25"/>
    <n v="10218"/>
  </r>
  <r>
    <n v="1047"/>
    <x v="326"/>
    <x v="2"/>
    <x v="2"/>
    <n v="6976.95"/>
    <n v="36"/>
    <x v="2"/>
    <n v="4043.53"/>
    <n v="4384.8500000000004"/>
    <x v="1"/>
    <n v="0.14000000000000001"/>
    <s v="Cash"/>
    <x v="0"/>
    <s v="North-David"/>
    <n v="157854.6"/>
    <n v="145567.08000000002"/>
    <n v="12287.51999999999"/>
  </r>
  <r>
    <n v="1046"/>
    <x v="273"/>
    <x v="4"/>
    <x v="0"/>
    <n v="4104.82"/>
    <n v="43"/>
    <x v="0"/>
    <n v="4052.42"/>
    <n v="4199.3"/>
    <x v="1"/>
    <n v="0.1"/>
    <s v="Bank Transfer"/>
    <x v="1"/>
    <s v="East-Eve"/>
    <n v="180569.9"/>
    <n v="174254.06"/>
    <n v="6315.8399999999965"/>
  </r>
  <r>
    <n v="1098"/>
    <x v="327"/>
    <x v="1"/>
    <x v="3"/>
    <n v="8188.04"/>
    <n v="19"/>
    <x v="1"/>
    <n v="4055.51"/>
    <n v="4258.84"/>
    <x v="0"/>
    <n v="0.03"/>
    <s v="Credit Card"/>
    <x v="0"/>
    <s v="South-Alice"/>
    <n v="80917.960000000006"/>
    <n v="77054.69"/>
    <n v="3863.2700000000041"/>
  </r>
  <r>
    <n v="1097"/>
    <x v="17"/>
    <x v="1"/>
    <x v="0"/>
    <n v="5025.6400000000003"/>
    <n v="9"/>
    <x v="2"/>
    <n v="4067.28"/>
    <n v="4548.09"/>
    <x v="0"/>
    <n v="0.12"/>
    <s v="Credit Card"/>
    <x v="1"/>
    <s v="East-Alice"/>
    <n v="40932.81"/>
    <n v="36605.520000000004"/>
    <n v="4327.2899999999936"/>
  </r>
  <r>
    <n v="1089"/>
    <x v="106"/>
    <x v="3"/>
    <x v="2"/>
    <n v="8130.13"/>
    <n v="35"/>
    <x v="0"/>
    <n v="4071.01"/>
    <n v="4304.7"/>
    <x v="1"/>
    <n v="0.14000000000000001"/>
    <s v="Credit Card"/>
    <x v="0"/>
    <s v="North-Charlie"/>
    <n v="150664.5"/>
    <n v="142485.35"/>
    <n v="8179.1499999999942"/>
  </r>
  <r>
    <n v="1087"/>
    <x v="129"/>
    <x v="1"/>
    <x v="1"/>
    <n v="7534.3"/>
    <n v="15"/>
    <x v="3"/>
    <n v="4074.66"/>
    <n v="4261.1099999999997"/>
    <x v="0"/>
    <n v="0.05"/>
    <s v="Credit Card"/>
    <x v="1"/>
    <s v="West-Alice"/>
    <n v="63916.649999999994"/>
    <n v="61119.899999999994"/>
    <n v="2796.75"/>
  </r>
  <r>
    <n v="1086"/>
    <x v="11"/>
    <x v="3"/>
    <x v="1"/>
    <n v="5437.04"/>
    <n v="17"/>
    <x v="1"/>
    <n v="4075.08"/>
    <n v="4262.21"/>
    <x v="1"/>
    <n v="0.17"/>
    <s v="Cash"/>
    <x v="0"/>
    <s v="West-Charlie"/>
    <n v="72457.570000000007"/>
    <n v="69276.36"/>
    <n v="3181.2100000000064"/>
  </r>
  <r>
    <n v="1085"/>
    <x v="140"/>
    <x v="4"/>
    <x v="0"/>
    <n v="4716.47"/>
    <n v="40"/>
    <x v="0"/>
    <n v="4083.23"/>
    <n v="4521.57"/>
    <x v="1"/>
    <n v="0.27"/>
    <s v="Bank Transfer"/>
    <x v="1"/>
    <s v="East-Eve"/>
    <n v="180862.8"/>
    <n v="163329.20000000001"/>
    <n v="17533.599999999977"/>
  </r>
  <r>
    <n v="1089"/>
    <x v="30"/>
    <x v="0"/>
    <x v="1"/>
    <n v="5228.28"/>
    <n v="40"/>
    <x v="3"/>
    <n v="4089.66"/>
    <n v="4275.96"/>
    <x v="1"/>
    <n v="0.23"/>
    <s v="Credit Card"/>
    <x v="0"/>
    <s v="West-Bob"/>
    <n v="171038.4"/>
    <n v="163586.4"/>
    <n v="7452"/>
  </r>
  <r>
    <n v="1026"/>
    <x v="239"/>
    <x v="2"/>
    <x v="0"/>
    <n v="2195.1999999999998"/>
    <n v="5"/>
    <x v="2"/>
    <n v="4093.61"/>
    <n v="4117.88"/>
    <x v="0"/>
    <n v="0.12"/>
    <s v="Credit Card"/>
    <x v="1"/>
    <s v="East-David"/>
    <n v="20589.400000000001"/>
    <n v="20468.05"/>
    <n v="121.35000000000218"/>
  </r>
  <r>
    <n v="1001"/>
    <x v="48"/>
    <x v="1"/>
    <x v="3"/>
    <n v="1498.11"/>
    <n v="7"/>
    <x v="1"/>
    <n v="4094.68"/>
    <n v="4576.5"/>
    <x v="1"/>
    <n v="0.3"/>
    <s v="Cash"/>
    <x v="1"/>
    <s v="South-Alice"/>
    <n v="32035.5"/>
    <n v="28662.76"/>
    <n v="3372.7400000000016"/>
  </r>
  <r>
    <n v="1046"/>
    <x v="153"/>
    <x v="1"/>
    <x v="3"/>
    <n v="2373.02"/>
    <n v="4"/>
    <x v="3"/>
    <n v="4095.1"/>
    <n v="4134.55"/>
    <x v="0"/>
    <n v="0.09"/>
    <s v="Bank Transfer"/>
    <x v="1"/>
    <s v="South-Alice"/>
    <n v="16538.2"/>
    <n v="16380.4"/>
    <n v="157.80000000000109"/>
  </r>
  <r>
    <n v="1032"/>
    <x v="216"/>
    <x v="2"/>
    <x v="3"/>
    <n v="4244.21"/>
    <n v="11"/>
    <x v="0"/>
    <n v="4100.62"/>
    <n v="4230"/>
    <x v="1"/>
    <n v="0.28999999999999998"/>
    <s v="Bank Transfer"/>
    <x v="0"/>
    <s v="South-David"/>
    <n v="46530"/>
    <n v="45106.82"/>
    <n v="1423.1800000000003"/>
  </r>
  <r>
    <n v="1060"/>
    <x v="95"/>
    <x v="4"/>
    <x v="0"/>
    <n v="273.77"/>
    <n v="23"/>
    <x v="0"/>
    <n v="4110.6000000000004"/>
    <n v="4488.37"/>
    <x v="1"/>
    <n v="0.12"/>
    <s v="Credit Card"/>
    <x v="0"/>
    <s v="East-Eve"/>
    <n v="103232.51"/>
    <n v="94543.8"/>
    <n v="8688.7099999999919"/>
  </r>
  <r>
    <n v="1055"/>
    <x v="155"/>
    <x v="4"/>
    <x v="1"/>
    <n v="7354.06"/>
    <n v="43"/>
    <x v="3"/>
    <n v="4111.7"/>
    <n v="4537.9399999999996"/>
    <x v="0"/>
    <n v="0.13"/>
    <s v="Bank Transfer"/>
    <x v="0"/>
    <s v="West-Eve"/>
    <n v="195131.41999999998"/>
    <n v="176803.1"/>
    <n v="18328.319999999978"/>
  </r>
  <r>
    <n v="1094"/>
    <x v="231"/>
    <x v="0"/>
    <x v="3"/>
    <n v="6586.22"/>
    <n v="15"/>
    <x v="2"/>
    <n v="4111.93"/>
    <n v="4338.67"/>
    <x v="0"/>
    <n v="0.26"/>
    <s v="Credit Card"/>
    <x v="0"/>
    <s v="South-Bob"/>
    <n v="65080.05"/>
    <n v="61678.950000000004"/>
    <n v="3401.0999999999985"/>
  </r>
  <r>
    <n v="1024"/>
    <x v="216"/>
    <x v="2"/>
    <x v="2"/>
    <n v="2565.19"/>
    <n v="17"/>
    <x v="3"/>
    <n v="4114.66"/>
    <n v="4269.0199999999904"/>
    <x v="0"/>
    <n v="0.27"/>
    <s v="Bank Transfer"/>
    <x v="1"/>
    <s v="North-David"/>
    <n v="72573.339999999836"/>
    <n v="69949.22"/>
    <n v="2624.1199999998353"/>
  </r>
  <r>
    <n v="1054"/>
    <x v="46"/>
    <x v="2"/>
    <x v="0"/>
    <n v="4252.54"/>
    <n v="8"/>
    <x v="2"/>
    <n v="4117.13"/>
    <n v="4177.0600000000004"/>
    <x v="0"/>
    <n v="0.25"/>
    <s v="Bank Transfer"/>
    <x v="1"/>
    <s v="East-David"/>
    <n v="33416.480000000003"/>
    <n v="32937.040000000001"/>
    <n v="479.44000000000233"/>
  </r>
  <r>
    <n v="1089"/>
    <x v="281"/>
    <x v="3"/>
    <x v="2"/>
    <n v="2122.73"/>
    <n v="4"/>
    <x v="3"/>
    <n v="4117.67"/>
    <n v="4280.0600000000004"/>
    <x v="0"/>
    <n v="0.18"/>
    <s v="Bank Transfer"/>
    <x v="0"/>
    <s v="North-Charlie"/>
    <n v="17120.240000000002"/>
    <n v="16470.68"/>
    <n v="649.56000000000131"/>
  </r>
  <r>
    <n v="1094"/>
    <x v="253"/>
    <x v="0"/>
    <x v="1"/>
    <n v="6171.59"/>
    <n v="7"/>
    <x v="3"/>
    <n v="4122.38"/>
    <n v="4358.78"/>
    <x v="0"/>
    <n v="0.26"/>
    <s v="Bank Transfer"/>
    <x v="1"/>
    <s v="West-Bob"/>
    <n v="30511.46"/>
    <n v="28856.66"/>
    <n v="1654.7999999999993"/>
  </r>
  <r>
    <n v="1039"/>
    <x v="187"/>
    <x v="4"/>
    <x v="1"/>
    <n v="1143.3900000000001"/>
    <n v="37"/>
    <x v="1"/>
    <n v="4127.05"/>
    <n v="4313.45"/>
    <x v="1"/>
    <n v="0.16"/>
    <s v="Cash"/>
    <x v="0"/>
    <s v="West-Eve"/>
    <n v="159597.65"/>
    <n v="152700.85"/>
    <n v="6896.7999999999884"/>
  </r>
  <r>
    <n v="1080"/>
    <x v="145"/>
    <x v="3"/>
    <x v="1"/>
    <n v="5993.5"/>
    <n v="14"/>
    <x v="2"/>
    <n v="4127.54"/>
    <n v="4495.13"/>
    <x v="1"/>
    <n v="0.06"/>
    <s v="Bank Transfer"/>
    <x v="1"/>
    <s v="West-Charlie"/>
    <n v="62931.82"/>
    <n v="57785.56"/>
    <n v="5146.260000000002"/>
  </r>
  <r>
    <n v="1035"/>
    <x v="315"/>
    <x v="1"/>
    <x v="3"/>
    <n v="3780.22"/>
    <n v="45"/>
    <x v="2"/>
    <n v="4132.79"/>
    <n v="4624.1000000000004"/>
    <x v="1"/>
    <n v="0.15"/>
    <s v="Credit Card"/>
    <x v="1"/>
    <s v="South-Alice"/>
    <n v="208084.50000000003"/>
    <n v="185975.55"/>
    <n v="22108.950000000041"/>
  </r>
  <r>
    <n v="1066"/>
    <x v="305"/>
    <x v="0"/>
    <x v="1"/>
    <n v="5851.41"/>
    <n v="13"/>
    <x v="3"/>
    <n v="4133.92"/>
    <n v="4358.37"/>
    <x v="1"/>
    <n v="0.13"/>
    <s v="Cash"/>
    <x v="1"/>
    <s v="West-Bob"/>
    <n v="56658.81"/>
    <n v="53740.959999999999"/>
    <n v="2917.8499999999985"/>
  </r>
  <r>
    <n v="1002"/>
    <x v="328"/>
    <x v="2"/>
    <x v="0"/>
    <n v="8090.84"/>
    <n v="21"/>
    <x v="0"/>
    <n v="4138.41"/>
    <n v="4361.7"/>
    <x v="0"/>
    <n v="7.0000000000000007E-2"/>
    <s v="Credit Card"/>
    <x v="1"/>
    <s v="East-David"/>
    <n v="91595.7"/>
    <n v="86906.61"/>
    <n v="4689.0899999999965"/>
  </r>
  <r>
    <n v="1059"/>
    <x v="218"/>
    <x v="1"/>
    <x v="2"/>
    <n v="5108.9799999999996"/>
    <n v="37"/>
    <x v="1"/>
    <n v="4146.99"/>
    <n v="4172.3499999999904"/>
    <x v="0"/>
    <n v="0.06"/>
    <s v="Cash"/>
    <x v="1"/>
    <s v="North-Alice"/>
    <n v="154376.94999999963"/>
    <n v="153438.63"/>
    <n v="938.31999999962864"/>
  </r>
  <r>
    <n v="1099"/>
    <x v="216"/>
    <x v="4"/>
    <x v="1"/>
    <n v="6644.04"/>
    <n v="25"/>
    <x v="1"/>
    <n v="4148.4799999999996"/>
    <n v="4293.6899999999996"/>
    <x v="1"/>
    <n v="0.11"/>
    <s v="Bank Transfer"/>
    <x v="0"/>
    <s v="West-Eve"/>
    <n v="107342.24999999999"/>
    <n v="103711.99999999999"/>
    <n v="3630.25"/>
  </r>
  <r>
    <n v="1021"/>
    <x v="156"/>
    <x v="0"/>
    <x v="1"/>
    <n v="9638.64"/>
    <n v="43"/>
    <x v="3"/>
    <n v="4154.3"/>
    <n v="4469.07"/>
    <x v="0"/>
    <n v="0.23"/>
    <s v="Cash"/>
    <x v="1"/>
    <s v="West-Bob"/>
    <n v="192170.00999999998"/>
    <n v="178634.9"/>
    <n v="13535.109999999986"/>
  </r>
  <r>
    <n v="1023"/>
    <x v="237"/>
    <x v="4"/>
    <x v="0"/>
    <n v="2170.94"/>
    <n v="9"/>
    <x v="0"/>
    <n v="4155.46"/>
    <n v="4273.6000000000004"/>
    <x v="0"/>
    <n v="0.25"/>
    <s v="Cash"/>
    <x v="1"/>
    <s v="East-Eve"/>
    <n v="38462.400000000001"/>
    <n v="37399.14"/>
    <n v="1063.260000000002"/>
  </r>
  <r>
    <n v="1089"/>
    <x v="181"/>
    <x v="0"/>
    <x v="1"/>
    <n v="2945.36"/>
    <n v="47"/>
    <x v="3"/>
    <n v="4157.62"/>
    <n v="4314.5599999999904"/>
    <x v="1"/>
    <n v="0.17"/>
    <s v="Bank Transfer"/>
    <x v="1"/>
    <s v="West-Bob"/>
    <n v="202784.31999999954"/>
    <n v="195408.13999999998"/>
    <n v="7376.1799999995565"/>
  </r>
  <r>
    <n v="1069"/>
    <x v="274"/>
    <x v="2"/>
    <x v="0"/>
    <n v="719.39"/>
    <n v="47"/>
    <x v="1"/>
    <n v="4171.83"/>
    <n v="4320.93"/>
    <x v="1"/>
    <n v="7.0000000000000007E-2"/>
    <s v="Cash"/>
    <x v="0"/>
    <s v="East-David"/>
    <n v="203083.71000000002"/>
    <n v="196076.01"/>
    <n v="7007.7000000000116"/>
  </r>
  <r>
    <n v="1065"/>
    <x v="94"/>
    <x v="1"/>
    <x v="0"/>
    <n v="9519.16"/>
    <n v="3"/>
    <x v="3"/>
    <n v="4173.04"/>
    <n v="4362.4399999999996"/>
    <x v="1"/>
    <n v="0.23"/>
    <s v="Bank Transfer"/>
    <x v="1"/>
    <s v="East-Alice"/>
    <n v="13087.32"/>
    <n v="12519.119999999999"/>
    <n v="568.20000000000073"/>
  </r>
  <r>
    <n v="1055"/>
    <x v="16"/>
    <x v="2"/>
    <x v="0"/>
    <n v="3093.95"/>
    <n v="46"/>
    <x v="0"/>
    <n v="4173.5200000000004"/>
    <n v="4294.8500000000004"/>
    <x v="0"/>
    <n v="0.03"/>
    <s v="Bank Transfer"/>
    <x v="1"/>
    <s v="East-David"/>
    <n v="197563.1"/>
    <n v="191981.92"/>
    <n v="5581.179999999993"/>
  </r>
  <r>
    <n v="1090"/>
    <x v="172"/>
    <x v="3"/>
    <x v="3"/>
    <n v="2381.12"/>
    <n v="17"/>
    <x v="0"/>
    <n v="4190.26"/>
    <n v="4645.3500000000004"/>
    <x v="1"/>
    <n v="0.12"/>
    <s v="Credit Card"/>
    <x v="1"/>
    <s v="South-Charlie"/>
    <n v="78970.950000000012"/>
    <n v="71234.42"/>
    <n v="7736.5300000000134"/>
  </r>
  <r>
    <n v="1003"/>
    <x v="231"/>
    <x v="1"/>
    <x v="3"/>
    <n v="4775.59"/>
    <n v="30"/>
    <x v="3"/>
    <n v="4190.28"/>
    <n v="4270.6499999999996"/>
    <x v="1"/>
    <n v="0.2"/>
    <s v="Cash"/>
    <x v="0"/>
    <s v="South-Alice"/>
    <n v="128119.49999999999"/>
    <n v="125708.4"/>
    <n v="2411.0999999999913"/>
  </r>
  <r>
    <n v="1012"/>
    <x v="113"/>
    <x v="0"/>
    <x v="2"/>
    <n v="5858.06"/>
    <n v="1"/>
    <x v="2"/>
    <n v="4190.83"/>
    <n v="4528.7699999999904"/>
    <x v="0"/>
    <n v="0.22"/>
    <s v="Bank Transfer"/>
    <x v="0"/>
    <s v="North-Bob"/>
    <n v="4528.7699999999904"/>
    <n v="4190.83"/>
    <n v="337.9399999999905"/>
  </r>
  <r>
    <n v="1055"/>
    <x v="31"/>
    <x v="4"/>
    <x v="3"/>
    <n v="1242.4100000000001"/>
    <n v="16"/>
    <x v="0"/>
    <n v="4195.38"/>
    <n v="4461.51"/>
    <x v="0"/>
    <n v="0.09"/>
    <s v="Bank Transfer"/>
    <x v="0"/>
    <s v="South-Eve"/>
    <n v="71384.160000000003"/>
    <n v="67126.080000000002"/>
    <n v="4258.0800000000017"/>
  </r>
  <r>
    <n v="1054"/>
    <x v="141"/>
    <x v="0"/>
    <x v="0"/>
    <n v="6624.55"/>
    <n v="22"/>
    <x v="1"/>
    <n v="4200.08"/>
    <n v="4647.28"/>
    <x v="0"/>
    <n v="0.11"/>
    <s v="Cash"/>
    <x v="0"/>
    <s v="East-Bob"/>
    <n v="102240.15999999999"/>
    <n v="92401.76"/>
    <n v="9838.3999999999942"/>
  </r>
  <r>
    <n v="1093"/>
    <x v="83"/>
    <x v="1"/>
    <x v="2"/>
    <n v="7353.72"/>
    <n v="34"/>
    <x v="2"/>
    <n v="4201.1099999999997"/>
    <n v="4436.5"/>
    <x v="1"/>
    <n v="0.05"/>
    <s v="Cash"/>
    <x v="0"/>
    <s v="North-Alice"/>
    <n v="150841"/>
    <n v="142837.74"/>
    <n v="8003.2600000000093"/>
  </r>
  <r>
    <n v="1040"/>
    <x v="278"/>
    <x v="1"/>
    <x v="0"/>
    <n v="1004.78"/>
    <n v="42"/>
    <x v="1"/>
    <n v="4205.29"/>
    <n v="4382.3500000000004"/>
    <x v="1"/>
    <n v="0.25"/>
    <s v="Cash"/>
    <x v="1"/>
    <s v="East-Alice"/>
    <n v="184058.7"/>
    <n v="176622.18"/>
    <n v="7436.5200000000186"/>
  </r>
  <r>
    <n v="1042"/>
    <x v="269"/>
    <x v="3"/>
    <x v="1"/>
    <n v="8417.07"/>
    <n v="26"/>
    <x v="1"/>
    <n v="4208.09"/>
    <n v="4226.5600000000004"/>
    <x v="0"/>
    <n v="0.28999999999999998"/>
    <s v="Cash"/>
    <x v="1"/>
    <s v="West-Charlie"/>
    <n v="109890.56000000001"/>
    <n v="109410.34"/>
    <n v="480.22000000001572"/>
  </r>
  <r>
    <n v="1003"/>
    <x v="97"/>
    <x v="2"/>
    <x v="0"/>
    <n v="9514.19"/>
    <n v="22"/>
    <x v="2"/>
    <n v="4218.43"/>
    <n v="4331.42"/>
    <x v="1"/>
    <n v="0.26"/>
    <s v="Bank Transfer"/>
    <x v="0"/>
    <s v="East-David"/>
    <n v="95291.24"/>
    <n v="92805.46"/>
    <n v="2485.7799999999988"/>
  </r>
  <r>
    <n v="1089"/>
    <x v="118"/>
    <x v="4"/>
    <x v="2"/>
    <n v="2528.9899999999998"/>
    <n v="4"/>
    <x v="3"/>
    <n v="4231.75"/>
    <n v="4727.75"/>
    <x v="0"/>
    <n v="0.12"/>
    <s v="Credit Card"/>
    <x v="1"/>
    <s v="North-Eve"/>
    <n v="18911"/>
    <n v="16927"/>
    <n v="1984"/>
  </r>
  <r>
    <n v="1027"/>
    <x v="146"/>
    <x v="4"/>
    <x v="2"/>
    <n v="1657"/>
    <n v="43"/>
    <x v="0"/>
    <n v="4232.6099999999997"/>
    <n v="4572.21"/>
    <x v="1"/>
    <n v="0.01"/>
    <s v="Cash"/>
    <x v="1"/>
    <s v="North-Eve"/>
    <n v="196605.03"/>
    <n v="182002.22999999998"/>
    <n v="14602.800000000017"/>
  </r>
  <r>
    <n v="1033"/>
    <x v="222"/>
    <x v="4"/>
    <x v="2"/>
    <n v="8395.2900000000009"/>
    <n v="39"/>
    <x v="1"/>
    <n v="4232.8100000000004"/>
    <n v="4345.25"/>
    <x v="0"/>
    <n v="0.12"/>
    <s v="Bank Transfer"/>
    <x v="0"/>
    <s v="North-Eve"/>
    <n v="169464.75"/>
    <n v="165079.59000000003"/>
    <n v="4385.1599999999744"/>
  </r>
  <r>
    <n v="1031"/>
    <x v="302"/>
    <x v="2"/>
    <x v="2"/>
    <n v="7567.06"/>
    <n v="22"/>
    <x v="2"/>
    <n v="4236.05"/>
    <n v="4382.32"/>
    <x v="1"/>
    <n v="0.2"/>
    <s v="Bank Transfer"/>
    <x v="0"/>
    <s v="North-David"/>
    <n v="96411.04"/>
    <n v="93193.1"/>
    <n v="3217.9399999999878"/>
  </r>
  <r>
    <n v="1049"/>
    <x v="265"/>
    <x v="1"/>
    <x v="0"/>
    <n v="2947.56"/>
    <n v="38"/>
    <x v="2"/>
    <n v="4243.9799999999996"/>
    <n v="4474.5099999999902"/>
    <x v="1"/>
    <n v="0.01"/>
    <s v="Credit Card"/>
    <x v="0"/>
    <s v="East-Alice"/>
    <n v="170031.37999999963"/>
    <n v="161271.24"/>
    <n v="8760.1399999996356"/>
  </r>
  <r>
    <n v="1089"/>
    <x v="170"/>
    <x v="4"/>
    <x v="3"/>
    <n v="2032.88"/>
    <n v="32"/>
    <x v="0"/>
    <n v="4248.5"/>
    <n v="4706.7"/>
    <x v="1"/>
    <n v="0.01"/>
    <s v="Bank Transfer"/>
    <x v="1"/>
    <s v="South-Eve"/>
    <n v="150614.39999999999"/>
    <n v="135952"/>
    <n v="14662.399999999994"/>
  </r>
  <r>
    <n v="1053"/>
    <x v="14"/>
    <x v="0"/>
    <x v="3"/>
    <n v="7835.09"/>
    <n v="36"/>
    <x v="0"/>
    <n v="4252.17"/>
    <n v="4720.2700000000004"/>
    <x v="1"/>
    <n v="0.09"/>
    <s v="Cash"/>
    <x v="1"/>
    <s v="South-Bob"/>
    <n v="169929.72000000003"/>
    <n v="153078.12"/>
    <n v="16851.600000000035"/>
  </r>
  <r>
    <n v="1095"/>
    <x v="242"/>
    <x v="3"/>
    <x v="1"/>
    <n v="8231.74"/>
    <n v="7"/>
    <x v="2"/>
    <n v="4257.24"/>
    <n v="4355.87"/>
    <x v="0"/>
    <n v="0.03"/>
    <s v="Bank Transfer"/>
    <x v="0"/>
    <s v="West-Charlie"/>
    <n v="30491.09"/>
    <n v="29800.68"/>
    <n v="690.40999999999985"/>
  </r>
  <r>
    <n v="1043"/>
    <x v="84"/>
    <x v="2"/>
    <x v="0"/>
    <n v="6601.89"/>
    <n v="22"/>
    <x v="1"/>
    <n v="4260"/>
    <n v="4656.58"/>
    <x v="1"/>
    <n v="0"/>
    <s v="Bank Transfer"/>
    <x v="0"/>
    <s v="East-David"/>
    <n v="102444.76"/>
    <n v="93720"/>
    <n v="8724.7599999999948"/>
  </r>
  <r>
    <n v="1048"/>
    <x v="206"/>
    <x v="2"/>
    <x v="3"/>
    <n v="9673.65"/>
    <n v="45"/>
    <x v="1"/>
    <n v="4262.21"/>
    <n v="4533.3100000000004"/>
    <x v="0"/>
    <n v="0.27"/>
    <s v="Credit Card"/>
    <x v="0"/>
    <s v="South-David"/>
    <n v="203998.95"/>
    <n v="191799.45"/>
    <n v="12199.5"/>
  </r>
  <r>
    <n v="1097"/>
    <x v="265"/>
    <x v="4"/>
    <x v="1"/>
    <n v="6600.65"/>
    <n v="49"/>
    <x v="1"/>
    <n v="4264.46"/>
    <n v="4315.5200000000004"/>
    <x v="1"/>
    <n v="7.0000000000000007E-2"/>
    <s v="Cash"/>
    <x v="1"/>
    <s v="West-Eve"/>
    <n v="211460.48000000001"/>
    <n v="208958.54"/>
    <n v="2501.9400000000023"/>
  </r>
  <r>
    <n v="1036"/>
    <x v="3"/>
    <x v="3"/>
    <x v="0"/>
    <n v="6242.69"/>
    <n v="26"/>
    <x v="1"/>
    <n v="4266.3599999999997"/>
    <n v="4331.4299999999903"/>
    <x v="0"/>
    <n v="0.14000000000000001"/>
    <s v="Credit Card"/>
    <x v="1"/>
    <s v="East-Charlie"/>
    <n v="112617.17999999975"/>
    <n v="110925.35999999999"/>
    <n v="1691.8199999997596"/>
  </r>
  <r>
    <n v="1095"/>
    <x v="181"/>
    <x v="3"/>
    <x v="1"/>
    <n v="6970.1"/>
    <n v="32"/>
    <x v="0"/>
    <n v="4266.6400000000003"/>
    <n v="4523.3599999999997"/>
    <x v="1"/>
    <n v="0.3"/>
    <s v="Bank Transfer"/>
    <x v="1"/>
    <s v="West-Charlie"/>
    <n v="144747.51999999999"/>
    <n v="136532.48000000001"/>
    <n v="8215.039999999979"/>
  </r>
  <r>
    <n v="1020"/>
    <x v="173"/>
    <x v="0"/>
    <x v="2"/>
    <n v="9671.77"/>
    <n v="45"/>
    <x v="1"/>
    <n v="4268.45"/>
    <n v="4551.5999999999904"/>
    <x v="1"/>
    <n v="0.08"/>
    <s v="Bank Transfer"/>
    <x v="0"/>
    <s v="North-Bob"/>
    <n v="204821.99999999956"/>
    <n v="192080.25"/>
    <n v="12741.749999999563"/>
  </r>
  <r>
    <n v="1064"/>
    <x v="295"/>
    <x v="0"/>
    <x v="3"/>
    <n v="5356.28"/>
    <n v="8"/>
    <x v="1"/>
    <n v="4271.99"/>
    <n v="4417.79"/>
    <x v="0"/>
    <n v="0.04"/>
    <s v="Cash"/>
    <x v="0"/>
    <s v="South-Bob"/>
    <n v="35342.32"/>
    <n v="34175.919999999998"/>
    <n v="1166.4000000000015"/>
  </r>
  <r>
    <n v="1015"/>
    <x v="329"/>
    <x v="2"/>
    <x v="3"/>
    <n v="9914.15"/>
    <n v="22"/>
    <x v="1"/>
    <n v="4275.59"/>
    <n v="4576.72"/>
    <x v="0"/>
    <n v="0.02"/>
    <s v="Cash"/>
    <x v="1"/>
    <s v="South-David"/>
    <n v="100687.84000000001"/>
    <n v="94062.98000000001"/>
    <n v="6624.8600000000006"/>
  </r>
  <r>
    <n v="1092"/>
    <x v="171"/>
    <x v="4"/>
    <x v="3"/>
    <n v="9203.36"/>
    <n v="47"/>
    <x v="2"/>
    <n v="4284.9799999999996"/>
    <n v="4462.3999999999996"/>
    <x v="1"/>
    <n v="0.28000000000000003"/>
    <s v="Credit Card"/>
    <x v="1"/>
    <s v="South-Eve"/>
    <n v="209732.8"/>
    <n v="201394.05999999997"/>
    <n v="8338.7400000000198"/>
  </r>
  <r>
    <n v="1059"/>
    <x v="161"/>
    <x v="0"/>
    <x v="3"/>
    <n v="7678.91"/>
    <n v="16"/>
    <x v="3"/>
    <n v="4287.21"/>
    <n v="4464.28"/>
    <x v="0"/>
    <n v="0.2"/>
    <s v="Credit Card"/>
    <x v="1"/>
    <s v="South-Bob"/>
    <n v="71428.479999999996"/>
    <n v="68595.360000000001"/>
    <n v="2833.1199999999953"/>
  </r>
  <r>
    <n v="1063"/>
    <x v="232"/>
    <x v="2"/>
    <x v="0"/>
    <n v="5870.97"/>
    <n v="47"/>
    <x v="1"/>
    <n v="4291.33"/>
    <n v="4658.6400000000003"/>
    <x v="1"/>
    <n v="0.24"/>
    <s v="Credit Card"/>
    <x v="1"/>
    <s v="East-David"/>
    <n v="218956.08000000002"/>
    <n v="201692.51"/>
    <n v="17263.570000000007"/>
  </r>
  <r>
    <n v="1084"/>
    <x v="71"/>
    <x v="4"/>
    <x v="2"/>
    <n v="6658.1"/>
    <n v="49"/>
    <x v="3"/>
    <n v="4291.97"/>
    <n v="4645.6400000000003"/>
    <x v="0"/>
    <n v="0.26"/>
    <s v="Credit Card"/>
    <x v="0"/>
    <s v="North-Eve"/>
    <n v="227636.36000000002"/>
    <n v="210306.53"/>
    <n v="17329.830000000016"/>
  </r>
  <r>
    <n v="1036"/>
    <x v="148"/>
    <x v="2"/>
    <x v="2"/>
    <n v="6650.51"/>
    <n v="42"/>
    <x v="3"/>
    <n v="4292.63"/>
    <n v="4387.99"/>
    <x v="1"/>
    <n v="7.0000000000000007E-2"/>
    <s v="Credit Card"/>
    <x v="1"/>
    <s v="North-David"/>
    <n v="184295.58"/>
    <n v="180290.46"/>
    <n v="4005.1199999999953"/>
  </r>
  <r>
    <n v="1008"/>
    <x v="313"/>
    <x v="1"/>
    <x v="0"/>
    <n v="7507.02"/>
    <n v="32"/>
    <x v="2"/>
    <n v="4298.12"/>
    <n v="4446.8999999999996"/>
    <x v="1"/>
    <n v="0.1"/>
    <s v="Bank Transfer"/>
    <x v="0"/>
    <s v="East-Alice"/>
    <n v="142300.79999999999"/>
    <n v="137539.84"/>
    <n v="4760.9599999999919"/>
  </r>
  <r>
    <n v="1010"/>
    <x v="87"/>
    <x v="3"/>
    <x v="2"/>
    <n v="9907.7199999999993"/>
    <n v="20"/>
    <x v="3"/>
    <n v="4298.74"/>
    <n v="4475.1899999999996"/>
    <x v="0"/>
    <n v="0.16"/>
    <s v="Cash"/>
    <x v="0"/>
    <s v="North-Charlie"/>
    <n v="89503.799999999988"/>
    <n v="85974.799999999988"/>
    <n v="3529"/>
  </r>
  <r>
    <n v="1007"/>
    <x v="42"/>
    <x v="4"/>
    <x v="0"/>
    <n v="2426.2399999999998"/>
    <n v="16"/>
    <x v="3"/>
    <n v="4310.3100000000004"/>
    <n v="4633.1000000000004"/>
    <x v="1"/>
    <n v="0.28000000000000003"/>
    <s v="Credit Card"/>
    <x v="1"/>
    <s v="East-Eve"/>
    <n v="74129.600000000006"/>
    <n v="68964.960000000006"/>
    <n v="5164.6399999999994"/>
  </r>
  <r>
    <n v="1048"/>
    <x v="330"/>
    <x v="0"/>
    <x v="1"/>
    <n v="5187.16"/>
    <n v="7"/>
    <x v="0"/>
    <n v="4310.95"/>
    <n v="4723.2"/>
    <x v="0"/>
    <n v="0.05"/>
    <s v="Credit Card"/>
    <x v="1"/>
    <s v="West-Bob"/>
    <n v="33062.400000000001"/>
    <n v="30176.649999999998"/>
    <n v="2885.7500000000036"/>
  </r>
  <r>
    <n v="1071"/>
    <x v="76"/>
    <x v="1"/>
    <x v="1"/>
    <n v="8049.72"/>
    <n v="12"/>
    <x v="2"/>
    <n v="4317.95"/>
    <n v="4636.59"/>
    <x v="1"/>
    <n v="0.18"/>
    <s v="Credit Card"/>
    <x v="1"/>
    <s v="West-Alice"/>
    <n v="55639.08"/>
    <n v="51815.399999999994"/>
    <n v="3823.6800000000076"/>
  </r>
  <r>
    <n v="1067"/>
    <x v="120"/>
    <x v="4"/>
    <x v="3"/>
    <n v="114.59"/>
    <n v="48"/>
    <x v="2"/>
    <n v="4319.32"/>
    <n v="4625.5599999999904"/>
    <x v="0"/>
    <n v="0.1"/>
    <s v="Bank Transfer"/>
    <x v="0"/>
    <s v="South-Eve"/>
    <n v="222026.87999999954"/>
    <n v="207327.35999999999"/>
    <n v="14699.519999999553"/>
  </r>
  <r>
    <n v="1054"/>
    <x v="46"/>
    <x v="2"/>
    <x v="3"/>
    <n v="4392.47"/>
    <n v="48"/>
    <x v="1"/>
    <n v="4325.0200000000004"/>
    <n v="4391.67"/>
    <x v="0"/>
    <n v="0.16"/>
    <s v="Credit Card"/>
    <x v="1"/>
    <s v="South-David"/>
    <n v="210800.16"/>
    <n v="207600.96000000002"/>
    <n v="3199.1999999999825"/>
  </r>
  <r>
    <n v="1072"/>
    <x v="118"/>
    <x v="0"/>
    <x v="3"/>
    <n v="2167.94"/>
    <n v="39"/>
    <x v="0"/>
    <n v="4330.03"/>
    <n v="4467.75"/>
    <x v="1"/>
    <n v="0.02"/>
    <s v="Credit Card"/>
    <x v="1"/>
    <s v="South-Bob"/>
    <n v="174242.25"/>
    <n v="168871.16999999998"/>
    <n v="5371.0800000000163"/>
  </r>
  <r>
    <n v="1065"/>
    <x v="6"/>
    <x v="2"/>
    <x v="1"/>
    <n v="6139.07"/>
    <n v="18"/>
    <x v="2"/>
    <n v="4334.58"/>
    <n v="4431.04"/>
    <x v="1"/>
    <n v="0.02"/>
    <s v="Bank Transfer"/>
    <x v="1"/>
    <s v="West-David"/>
    <n v="79758.720000000001"/>
    <n v="78022.44"/>
    <n v="1736.2799999999988"/>
  </r>
  <r>
    <n v="1075"/>
    <x v="310"/>
    <x v="0"/>
    <x v="0"/>
    <n v="6653.49"/>
    <n v="36"/>
    <x v="0"/>
    <n v="4337.6099999999997"/>
    <n v="4386.82"/>
    <x v="0"/>
    <n v="0.23"/>
    <s v="Credit Card"/>
    <x v="0"/>
    <s v="East-Bob"/>
    <n v="157925.51999999999"/>
    <n v="156153.96"/>
    <n v="1771.5599999999977"/>
  </r>
  <r>
    <n v="1076"/>
    <x v="150"/>
    <x v="4"/>
    <x v="1"/>
    <n v="3279.51"/>
    <n v="32"/>
    <x v="0"/>
    <n v="4337.82"/>
    <n v="4460.71"/>
    <x v="0"/>
    <n v="0.3"/>
    <s v="Cash"/>
    <x v="1"/>
    <s v="West-Eve"/>
    <n v="142742.72"/>
    <n v="138810.23999999999"/>
    <n v="3932.4800000000105"/>
  </r>
  <r>
    <n v="1065"/>
    <x v="35"/>
    <x v="0"/>
    <x v="1"/>
    <n v="5878.76"/>
    <n v="26"/>
    <x v="0"/>
    <n v="4337.8500000000004"/>
    <n v="4612.49"/>
    <x v="0"/>
    <n v="0.01"/>
    <s v="Cash"/>
    <x v="1"/>
    <s v="West-Bob"/>
    <n v="119924.73999999999"/>
    <n v="112784.1"/>
    <n v="7140.6399999999849"/>
  </r>
  <r>
    <n v="1033"/>
    <x v="145"/>
    <x v="4"/>
    <x v="0"/>
    <n v="8775.56"/>
    <n v="13"/>
    <x v="2"/>
    <n v="4342.53"/>
    <n v="4357.49"/>
    <x v="1"/>
    <n v="0.08"/>
    <s v="Bank Transfer"/>
    <x v="0"/>
    <s v="East-Eve"/>
    <n v="56647.369999999995"/>
    <n v="56452.89"/>
    <n v="194.47999999999593"/>
  </r>
  <r>
    <n v="1089"/>
    <x v="176"/>
    <x v="2"/>
    <x v="1"/>
    <n v="8719.6200000000008"/>
    <n v="8"/>
    <x v="3"/>
    <n v="4349.34"/>
    <n v="4629.9799999999996"/>
    <x v="0"/>
    <n v="0.01"/>
    <s v="Credit Card"/>
    <x v="0"/>
    <s v="West-David"/>
    <n v="37039.839999999997"/>
    <n v="34794.720000000001"/>
    <n v="2245.1199999999953"/>
  </r>
  <r>
    <n v="1072"/>
    <x v="160"/>
    <x v="2"/>
    <x v="2"/>
    <n v="6976.49"/>
    <n v="35"/>
    <x v="1"/>
    <n v="4349.3599999999997"/>
    <n v="4645.17"/>
    <x v="0"/>
    <n v="0.18"/>
    <s v="Credit Card"/>
    <x v="1"/>
    <s v="North-David"/>
    <n v="162580.95000000001"/>
    <n v="152227.59999999998"/>
    <n v="10353.350000000035"/>
  </r>
  <r>
    <n v="1006"/>
    <x v="285"/>
    <x v="1"/>
    <x v="3"/>
    <n v="5053.5600000000004"/>
    <n v="29"/>
    <x v="1"/>
    <n v="4353.29"/>
    <n v="4405.8"/>
    <x v="1"/>
    <n v="0.04"/>
    <s v="Bank Transfer"/>
    <x v="0"/>
    <s v="South-Alice"/>
    <n v="127768.20000000001"/>
    <n v="126245.41"/>
    <n v="1522.7900000000081"/>
  </r>
  <r>
    <n v="1004"/>
    <x v="317"/>
    <x v="4"/>
    <x v="3"/>
    <n v="4936.1099999999997"/>
    <n v="27"/>
    <x v="0"/>
    <n v="4354.6000000000004"/>
    <n v="4820.2"/>
    <x v="1"/>
    <n v="0.14000000000000001"/>
    <s v="Credit Card"/>
    <x v="1"/>
    <s v="South-Eve"/>
    <n v="130145.4"/>
    <n v="117574.20000000001"/>
    <n v="12571.199999999983"/>
  </r>
  <r>
    <n v="1010"/>
    <x v="274"/>
    <x v="4"/>
    <x v="3"/>
    <n v="8159.84"/>
    <n v="37"/>
    <x v="0"/>
    <n v="4354.92"/>
    <n v="4495.88"/>
    <x v="0"/>
    <n v="0.01"/>
    <s v="Bank Transfer"/>
    <x v="0"/>
    <s v="South-Eve"/>
    <n v="166347.56"/>
    <n v="161132.04"/>
    <n v="5215.5199999999895"/>
  </r>
  <r>
    <n v="1009"/>
    <x v="49"/>
    <x v="3"/>
    <x v="3"/>
    <n v="2279.1"/>
    <n v="10"/>
    <x v="0"/>
    <n v="4364.3500000000004"/>
    <n v="4710.1000000000004"/>
    <x v="1"/>
    <n v="7.0000000000000007E-2"/>
    <s v="Credit Card"/>
    <x v="0"/>
    <s v="South-Charlie"/>
    <n v="47101"/>
    <n v="43643.5"/>
    <n v="3457.5"/>
  </r>
  <r>
    <n v="1073"/>
    <x v="306"/>
    <x v="1"/>
    <x v="2"/>
    <n v="2273.58"/>
    <n v="31"/>
    <x v="2"/>
    <n v="4368.97"/>
    <n v="4696.8500000000004"/>
    <x v="0"/>
    <n v="0.25"/>
    <s v="Bank Transfer"/>
    <x v="1"/>
    <s v="North-Alice"/>
    <n v="145602.35"/>
    <n v="135438.07"/>
    <n v="10164.279999999999"/>
  </r>
  <r>
    <n v="1073"/>
    <x v="46"/>
    <x v="3"/>
    <x v="3"/>
    <n v="4650.68"/>
    <n v="45"/>
    <x v="0"/>
    <n v="4369.5"/>
    <n v="4381.8900000000003"/>
    <x v="0"/>
    <n v="0.02"/>
    <s v="Credit Card"/>
    <x v="1"/>
    <s v="South-Charlie"/>
    <n v="197185.05000000002"/>
    <n v="196627.5"/>
    <n v="557.55000000001746"/>
  </r>
  <r>
    <n v="1005"/>
    <x v="331"/>
    <x v="0"/>
    <x v="2"/>
    <n v="4400.59"/>
    <n v="21"/>
    <x v="2"/>
    <n v="4376.37"/>
    <n v="4818.95"/>
    <x v="1"/>
    <n v="0"/>
    <s v="Credit Card"/>
    <x v="1"/>
    <s v="North-Bob"/>
    <n v="101197.95"/>
    <n v="91903.77"/>
    <n v="9294.179999999993"/>
  </r>
  <r>
    <n v="1088"/>
    <x v="236"/>
    <x v="4"/>
    <x v="0"/>
    <n v="7997.55"/>
    <n v="1"/>
    <x v="3"/>
    <n v="4384.6400000000003"/>
    <n v="4693.8999999999996"/>
    <x v="1"/>
    <n v="0.14000000000000001"/>
    <s v="Cash"/>
    <x v="1"/>
    <s v="East-Eve"/>
    <n v="4693.8999999999996"/>
    <n v="4384.6400000000003"/>
    <n v="309.25999999999931"/>
  </r>
  <r>
    <n v="1088"/>
    <x v="61"/>
    <x v="4"/>
    <x v="2"/>
    <n v="7106.44"/>
    <n v="12"/>
    <x v="0"/>
    <n v="4389.24"/>
    <n v="4856.2199999999903"/>
    <x v="0"/>
    <n v="0.15"/>
    <s v="Cash"/>
    <x v="1"/>
    <s v="North-Eve"/>
    <n v="58274.639999999883"/>
    <n v="52670.879999999997"/>
    <n v="5603.7599999998856"/>
  </r>
  <r>
    <n v="1039"/>
    <x v="134"/>
    <x v="0"/>
    <x v="0"/>
    <n v="9683.85"/>
    <n v="2"/>
    <x v="1"/>
    <n v="4394.58"/>
    <n v="4545.78"/>
    <x v="0"/>
    <n v="0.2"/>
    <s v="Credit Card"/>
    <x v="1"/>
    <s v="East-Bob"/>
    <n v="9091.56"/>
    <n v="8789.16"/>
    <n v="302.39999999999964"/>
  </r>
  <r>
    <n v="1002"/>
    <x v="319"/>
    <x v="4"/>
    <x v="2"/>
    <n v="6551.23"/>
    <n v="9"/>
    <x v="1"/>
    <n v="4398.16"/>
    <n v="4439.12"/>
    <x v="1"/>
    <n v="0.18"/>
    <s v="Bank Transfer"/>
    <x v="0"/>
    <s v="North-Eve"/>
    <n v="39952.080000000002"/>
    <n v="39583.440000000002"/>
    <n v="368.63999999999942"/>
  </r>
  <r>
    <n v="1075"/>
    <x v="332"/>
    <x v="2"/>
    <x v="3"/>
    <n v="1457.77"/>
    <n v="37"/>
    <x v="1"/>
    <n v="4399.8"/>
    <n v="4801.0600000000004"/>
    <x v="1"/>
    <n v="0.13"/>
    <s v="Bank Transfer"/>
    <x v="1"/>
    <s v="South-David"/>
    <n v="177639.22"/>
    <n v="162792.6"/>
    <n v="14846.619999999995"/>
  </r>
  <r>
    <n v="1077"/>
    <x v="70"/>
    <x v="3"/>
    <x v="0"/>
    <n v="242.38"/>
    <n v="43"/>
    <x v="2"/>
    <n v="4402.66"/>
    <n v="4724.7"/>
    <x v="1"/>
    <n v="0.1"/>
    <s v="Bank Transfer"/>
    <x v="1"/>
    <s v="East-Charlie"/>
    <n v="203162.1"/>
    <n v="189314.38"/>
    <n v="13847.720000000001"/>
  </r>
  <r>
    <n v="1051"/>
    <x v="72"/>
    <x v="0"/>
    <x v="2"/>
    <n v="5578.37"/>
    <n v="36"/>
    <x v="2"/>
    <n v="4418.95"/>
    <n v="4647.87"/>
    <x v="1"/>
    <n v="0.04"/>
    <s v="Bank Transfer"/>
    <x v="0"/>
    <s v="North-Bob"/>
    <n v="167323.32"/>
    <n v="159082.19999999998"/>
    <n v="8241.1200000000244"/>
  </r>
  <r>
    <n v="1054"/>
    <x v="156"/>
    <x v="1"/>
    <x v="3"/>
    <n v="7002.37"/>
    <n v="47"/>
    <x v="2"/>
    <n v="4429.8"/>
    <n v="4694.21"/>
    <x v="1"/>
    <n v="0.25"/>
    <s v="Bank Transfer"/>
    <x v="0"/>
    <s v="South-Alice"/>
    <n v="220627.87"/>
    <n v="208200.6"/>
    <n v="12427.26999999999"/>
  </r>
  <r>
    <n v="1061"/>
    <x v="172"/>
    <x v="0"/>
    <x v="0"/>
    <n v="2375.2800000000002"/>
    <n v="38"/>
    <x v="3"/>
    <n v="4440.8599999999997"/>
    <n v="4506.8099999999904"/>
    <x v="0"/>
    <n v="0.24"/>
    <s v="Bank Transfer"/>
    <x v="0"/>
    <s v="East-Bob"/>
    <n v="171258.77999999962"/>
    <n v="168752.68"/>
    <n v="2506.0999999996275"/>
  </r>
  <r>
    <n v="1023"/>
    <x v="184"/>
    <x v="2"/>
    <x v="1"/>
    <n v="1260.32"/>
    <n v="39"/>
    <x v="2"/>
    <n v="4450.6099999999997"/>
    <n v="4663.3399999999901"/>
    <x v="1"/>
    <n v="0.24"/>
    <s v="Cash"/>
    <x v="1"/>
    <s v="West-David"/>
    <n v="181870.2599999996"/>
    <n v="173573.78999999998"/>
    <n v="8296.4699999996228"/>
  </r>
  <r>
    <n v="1011"/>
    <x v="195"/>
    <x v="1"/>
    <x v="3"/>
    <n v="4531.97"/>
    <n v="38"/>
    <x v="3"/>
    <n v="4456.67"/>
    <n v="4642.46"/>
    <x v="1"/>
    <n v="0.06"/>
    <s v="Bank Transfer"/>
    <x v="0"/>
    <s v="South-Alice"/>
    <n v="176413.48"/>
    <n v="169353.46"/>
    <n v="7060.0200000000186"/>
  </r>
  <r>
    <n v="1016"/>
    <x v="84"/>
    <x v="1"/>
    <x v="1"/>
    <n v="3080.36"/>
    <n v="16"/>
    <x v="3"/>
    <n v="4457.68"/>
    <n v="4743.03"/>
    <x v="0"/>
    <n v="0.19"/>
    <s v="Cash"/>
    <x v="0"/>
    <s v="West-Alice"/>
    <n v="75888.479999999996"/>
    <n v="71322.880000000005"/>
    <n v="4565.5999999999913"/>
  </r>
  <r>
    <n v="1094"/>
    <x v="21"/>
    <x v="0"/>
    <x v="2"/>
    <n v="8872.33"/>
    <n v="45"/>
    <x v="3"/>
    <n v="4470.91"/>
    <n v="4695.54"/>
    <x v="0"/>
    <n v="0.06"/>
    <s v="Cash"/>
    <x v="1"/>
    <s v="North-Bob"/>
    <n v="211299.3"/>
    <n v="201190.94999999998"/>
    <n v="10108.350000000006"/>
  </r>
  <r>
    <n v="1020"/>
    <x v="30"/>
    <x v="4"/>
    <x v="2"/>
    <n v="9733.4699999999993"/>
    <n v="26"/>
    <x v="0"/>
    <n v="4472.3500000000004"/>
    <n v="4770.42"/>
    <x v="1"/>
    <n v="0.01"/>
    <s v="Credit Card"/>
    <x v="1"/>
    <s v="North-Eve"/>
    <n v="124030.92"/>
    <n v="116281.1"/>
    <n v="7749.8199999999924"/>
  </r>
  <r>
    <n v="1017"/>
    <x v="9"/>
    <x v="3"/>
    <x v="0"/>
    <n v="2638.98"/>
    <n v="35"/>
    <x v="3"/>
    <n v="4480.63"/>
    <n v="4884.12"/>
    <x v="1"/>
    <n v="0.04"/>
    <s v="Cash"/>
    <x v="0"/>
    <s v="East-Charlie"/>
    <n v="170944.19999999998"/>
    <n v="156822.05000000002"/>
    <n v="14122.149999999965"/>
  </r>
  <r>
    <n v="1035"/>
    <x v="22"/>
    <x v="3"/>
    <x v="2"/>
    <n v="1736.32"/>
    <n v="5"/>
    <x v="2"/>
    <n v="4483.8500000000004"/>
    <n v="4795.42"/>
    <x v="0"/>
    <n v="0.23"/>
    <s v="Cash"/>
    <x v="0"/>
    <s v="North-Charlie"/>
    <n v="23977.1"/>
    <n v="22419.25"/>
    <n v="1557.8499999999985"/>
  </r>
  <r>
    <n v="1099"/>
    <x v="293"/>
    <x v="1"/>
    <x v="2"/>
    <n v="2571.7199999999998"/>
    <n v="30"/>
    <x v="3"/>
    <n v="4495.82"/>
    <n v="4794.0099999999902"/>
    <x v="1"/>
    <n v="0.18"/>
    <s v="Bank Transfer"/>
    <x v="1"/>
    <s v="North-Alice"/>
    <n v="143820.2999999997"/>
    <n v="134874.59999999998"/>
    <n v="8945.6999999997206"/>
  </r>
  <r>
    <n v="1090"/>
    <x v="202"/>
    <x v="2"/>
    <x v="2"/>
    <n v="2150.0500000000002"/>
    <n v="31"/>
    <x v="3"/>
    <n v="4496.8599999999997"/>
    <n v="4880.7999999999902"/>
    <x v="1"/>
    <n v="0.06"/>
    <s v="Cash"/>
    <x v="1"/>
    <s v="North-David"/>
    <n v="151304.7999999997"/>
    <n v="139402.66"/>
    <n v="11902.139999999694"/>
  </r>
  <r>
    <n v="1016"/>
    <x v="95"/>
    <x v="2"/>
    <x v="3"/>
    <n v="9961.9599999999991"/>
    <n v="6"/>
    <x v="3"/>
    <n v="4502.09"/>
    <n v="4879.72"/>
    <x v="1"/>
    <n v="0.13"/>
    <s v="Credit Card"/>
    <x v="0"/>
    <s v="South-David"/>
    <n v="29278.32"/>
    <n v="27012.54"/>
    <n v="2265.7799999999988"/>
  </r>
  <r>
    <n v="1006"/>
    <x v="32"/>
    <x v="0"/>
    <x v="0"/>
    <n v="6954.35"/>
    <n v="14"/>
    <x v="2"/>
    <n v="4503.7299999999996"/>
    <n v="4879.8799999999901"/>
    <x v="1"/>
    <n v="0.24"/>
    <s v="Bank Transfer"/>
    <x v="1"/>
    <s v="East-Bob"/>
    <n v="68318.319999999861"/>
    <n v="63052.219999999994"/>
    <n v="5266.0999999998676"/>
  </r>
  <r>
    <n v="1075"/>
    <x v="260"/>
    <x v="2"/>
    <x v="1"/>
    <n v="919.09"/>
    <n v="26"/>
    <x v="1"/>
    <n v="4535.38"/>
    <n v="4557.5600000000004"/>
    <x v="1"/>
    <n v="0"/>
    <s v="Credit Card"/>
    <x v="0"/>
    <s v="West-David"/>
    <n v="118496.56000000001"/>
    <n v="117919.88"/>
    <n v="576.68000000000757"/>
  </r>
  <r>
    <n v="1048"/>
    <x v="251"/>
    <x v="0"/>
    <x v="1"/>
    <n v="7066.63"/>
    <n v="47"/>
    <x v="2"/>
    <n v="4535.8599999999997"/>
    <n v="4641.41"/>
    <x v="1"/>
    <n v="0.27"/>
    <s v="Credit Card"/>
    <x v="1"/>
    <s v="West-Bob"/>
    <n v="218146.27"/>
    <n v="213185.41999999998"/>
    <n v="4960.8500000000058"/>
  </r>
  <r>
    <n v="1078"/>
    <x v="114"/>
    <x v="4"/>
    <x v="0"/>
    <n v="4481.2"/>
    <n v="36"/>
    <x v="2"/>
    <n v="4548.88"/>
    <n v="4853.41"/>
    <x v="0"/>
    <n v="0.25"/>
    <s v="Credit Card"/>
    <x v="1"/>
    <s v="East-Eve"/>
    <n v="174722.76"/>
    <n v="163759.67999999999"/>
    <n v="10963.080000000016"/>
  </r>
  <r>
    <n v="1004"/>
    <x v="296"/>
    <x v="3"/>
    <x v="0"/>
    <n v="6744.46"/>
    <n v="12"/>
    <x v="0"/>
    <n v="4553.2299999999996"/>
    <n v="5038.74"/>
    <x v="1"/>
    <n v="0.09"/>
    <s v="Credit Card"/>
    <x v="1"/>
    <s v="East-Charlie"/>
    <n v="60464.88"/>
    <n v="54638.759999999995"/>
    <n v="5826.1200000000026"/>
  </r>
  <r>
    <n v="1054"/>
    <x v="333"/>
    <x v="0"/>
    <x v="3"/>
    <n v="2509.63"/>
    <n v="16"/>
    <x v="1"/>
    <n v="4557.79"/>
    <n v="5043.3599999999997"/>
    <x v="0"/>
    <n v="0.14000000000000001"/>
    <s v="Credit Card"/>
    <x v="1"/>
    <s v="South-Bob"/>
    <n v="80693.759999999995"/>
    <n v="72924.639999999999"/>
    <n v="7769.1199999999953"/>
  </r>
  <r>
    <n v="1006"/>
    <x v="142"/>
    <x v="0"/>
    <x v="2"/>
    <n v="8109.33"/>
    <n v="11"/>
    <x v="2"/>
    <n v="4562.58"/>
    <n v="4925.17"/>
    <x v="1"/>
    <n v="0.23"/>
    <s v="Cash"/>
    <x v="1"/>
    <s v="North-Bob"/>
    <n v="54176.87"/>
    <n v="50188.38"/>
    <n v="3988.4900000000052"/>
  </r>
  <r>
    <n v="1057"/>
    <x v="318"/>
    <x v="3"/>
    <x v="0"/>
    <n v="1605.28"/>
    <n v="43"/>
    <x v="3"/>
    <n v="4567.3900000000003"/>
    <n v="4958.78"/>
    <x v="1"/>
    <n v="0.04"/>
    <s v="Cash"/>
    <x v="1"/>
    <s v="East-Charlie"/>
    <n v="213227.53999999998"/>
    <n v="196397.77000000002"/>
    <n v="16829.76999999996"/>
  </r>
  <r>
    <n v="1049"/>
    <x v="295"/>
    <x v="4"/>
    <x v="3"/>
    <n v="9298.48"/>
    <n v="22"/>
    <x v="1"/>
    <n v="4573.6899999999996"/>
    <n v="4820.2999999999902"/>
    <x v="1"/>
    <n v="0.04"/>
    <s v="Cash"/>
    <x v="0"/>
    <s v="South-Eve"/>
    <n v="106046.59999999979"/>
    <n v="100621.18"/>
    <n v="5425.4199999997945"/>
  </r>
  <r>
    <n v="1088"/>
    <x v="268"/>
    <x v="1"/>
    <x v="0"/>
    <n v="8452.1299999999992"/>
    <n v="20"/>
    <x v="0"/>
    <n v="4590.24"/>
    <n v="5088.28"/>
    <x v="1"/>
    <n v="0.16"/>
    <s v="Bank Transfer"/>
    <x v="1"/>
    <s v="East-Alice"/>
    <n v="101765.59999999999"/>
    <n v="91804.799999999988"/>
    <n v="9960.8000000000029"/>
  </r>
  <r>
    <n v="1066"/>
    <x v="249"/>
    <x v="1"/>
    <x v="3"/>
    <n v="3530.59"/>
    <n v="4"/>
    <x v="3"/>
    <n v="4596.68"/>
    <n v="5044.74"/>
    <x v="1"/>
    <n v="0.01"/>
    <s v="Bank Transfer"/>
    <x v="0"/>
    <s v="South-Alice"/>
    <n v="20178.96"/>
    <n v="18386.72"/>
    <n v="1792.239999999998"/>
  </r>
  <r>
    <n v="1029"/>
    <x v="303"/>
    <x v="4"/>
    <x v="3"/>
    <n v="2855.85"/>
    <n v="46"/>
    <x v="3"/>
    <n v="4609.66"/>
    <n v="4879.1499999999996"/>
    <x v="0"/>
    <n v="0.3"/>
    <s v="Cash"/>
    <x v="1"/>
    <s v="South-Eve"/>
    <n v="224440.9"/>
    <n v="212044.36"/>
    <n v="12396.540000000008"/>
  </r>
  <r>
    <n v="1054"/>
    <x v="162"/>
    <x v="2"/>
    <x v="0"/>
    <n v="768.28"/>
    <n v="20"/>
    <x v="0"/>
    <n v="4622.1400000000003"/>
    <n v="5122.07"/>
    <x v="1"/>
    <n v="0.26"/>
    <s v="Cash"/>
    <x v="1"/>
    <s v="East-David"/>
    <n v="102441.4"/>
    <n v="92442.8"/>
    <n v="9998.5999999999913"/>
  </r>
  <r>
    <n v="1092"/>
    <x v="273"/>
    <x v="3"/>
    <x v="0"/>
    <n v="2729.27"/>
    <n v="40"/>
    <x v="1"/>
    <n v="4624.16"/>
    <n v="4731.9799999999996"/>
    <x v="1"/>
    <n v="0.2"/>
    <s v="Bank Transfer"/>
    <x v="1"/>
    <s v="East-Charlie"/>
    <n v="189279.19999999998"/>
    <n v="184966.39999999999"/>
    <n v="4312.7999999999884"/>
  </r>
  <r>
    <n v="1013"/>
    <x v="22"/>
    <x v="0"/>
    <x v="2"/>
    <n v="6520.2"/>
    <n v="42"/>
    <x v="0"/>
    <n v="4625.33"/>
    <n v="4642.83"/>
    <x v="1"/>
    <n v="0.19"/>
    <s v="Credit Card"/>
    <x v="0"/>
    <s v="North-Bob"/>
    <n v="194998.86"/>
    <n v="194263.86"/>
    <n v="735"/>
  </r>
  <r>
    <n v="1099"/>
    <x v="123"/>
    <x v="0"/>
    <x v="0"/>
    <n v="5613.1"/>
    <n v="31"/>
    <x v="3"/>
    <n v="4632.8500000000004"/>
    <n v="4711.7"/>
    <x v="1"/>
    <n v="0.21"/>
    <s v="Cash"/>
    <x v="1"/>
    <s v="East-Bob"/>
    <n v="146062.69999999998"/>
    <n v="143618.35"/>
    <n v="2444.3499999999767"/>
  </r>
  <r>
    <n v="1008"/>
    <x v="106"/>
    <x v="4"/>
    <x v="2"/>
    <n v="5227.8100000000004"/>
    <n v="38"/>
    <x v="0"/>
    <n v="4635.2299999999996"/>
    <n v="5075.4399999999996"/>
    <x v="0"/>
    <n v="0.05"/>
    <s v="Cash"/>
    <x v="0"/>
    <s v="North-Eve"/>
    <n v="192866.71999999997"/>
    <n v="176138.74"/>
    <n v="16727.979999999981"/>
  </r>
  <r>
    <n v="1053"/>
    <x v="37"/>
    <x v="3"/>
    <x v="0"/>
    <n v="1554.53"/>
    <n v="39"/>
    <x v="3"/>
    <n v="4643.67"/>
    <n v="4829.5200000000004"/>
    <x v="0"/>
    <n v="0.17"/>
    <s v="Bank Transfer"/>
    <x v="0"/>
    <s v="East-Charlie"/>
    <n v="188351.28000000003"/>
    <n v="181103.13"/>
    <n v="7248.1500000000233"/>
  </r>
  <r>
    <n v="1002"/>
    <x v="7"/>
    <x v="2"/>
    <x v="2"/>
    <n v="5842.88"/>
    <n v="30"/>
    <x v="0"/>
    <n v="4646.55"/>
    <n v="4784.28"/>
    <x v="0"/>
    <n v="0.1"/>
    <s v="Credit Card"/>
    <x v="1"/>
    <s v="North-David"/>
    <n v="143528.4"/>
    <n v="139396.5"/>
    <n v="4131.8999999999942"/>
  </r>
  <r>
    <n v="1061"/>
    <x v="16"/>
    <x v="4"/>
    <x v="0"/>
    <n v="2227.64"/>
    <n v="37"/>
    <x v="3"/>
    <n v="4651.7700000000004"/>
    <n v="4984.3900000000003"/>
    <x v="0"/>
    <n v="0.12"/>
    <s v="Cash"/>
    <x v="1"/>
    <s v="East-Eve"/>
    <n v="184422.43000000002"/>
    <n v="172115.49000000002"/>
    <n v="12306.940000000002"/>
  </r>
  <r>
    <n v="1062"/>
    <x v="39"/>
    <x v="2"/>
    <x v="2"/>
    <n v="2994.59"/>
    <n v="37"/>
    <x v="1"/>
    <n v="4658.4399999999996"/>
    <n v="4823.5"/>
    <x v="0"/>
    <n v="0.14000000000000001"/>
    <s v="Credit Card"/>
    <x v="0"/>
    <s v="North-David"/>
    <n v="178469.5"/>
    <n v="172362.28"/>
    <n v="6107.2200000000012"/>
  </r>
  <r>
    <n v="1018"/>
    <x v="178"/>
    <x v="2"/>
    <x v="1"/>
    <n v="6008.83"/>
    <n v="25"/>
    <x v="2"/>
    <n v="4660.82"/>
    <n v="5011.4299999999903"/>
    <x v="1"/>
    <n v="7.0000000000000007E-2"/>
    <s v="Bank Transfer"/>
    <x v="0"/>
    <s v="West-David"/>
    <n v="125285.74999999975"/>
    <n v="116520.5"/>
    <n v="8765.2499999997526"/>
  </r>
  <r>
    <n v="1090"/>
    <x v="231"/>
    <x v="4"/>
    <x v="1"/>
    <n v="3333.73"/>
    <n v="46"/>
    <x v="0"/>
    <n v="4665.12"/>
    <n v="4675.8999999999996"/>
    <x v="1"/>
    <n v="0.19"/>
    <s v="Cash"/>
    <x v="1"/>
    <s v="West-Eve"/>
    <n v="215091.4"/>
    <n v="214595.52"/>
    <n v="495.88000000000466"/>
  </r>
  <r>
    <n v="1054"/>
    <x v="37"/>
    <x v="0"/>
    <x v="3"/>
    <n v="7853.66"/>
    <n v="21"/>
    <x v="3"/>
    <n v="4668.1400000000003"/>
    <n v="5040.22"/>
    <x v="1"/>
    <n v="0.05"/>
    <s v="Bank Transfer"/>
    <x v="0"/>
    <s v="South-Bob"/>
    <n v="105844.62000000001"/>
    <n v="98030.94"/>
    <n v="7813.6800000000076"/>
  </r>
  <r>
    <n v="1032"/>
    <x v="204"/>
    <x v="0"/>
    <x v="2"/>
    <n v="8841.64"/>
    <n v="23"/>
    <x v="1"/>
    <n v="4673.1899999999996"/>
    <n v="4761.1799999999903"/>
    <x v="0"/>
    <n v="0.17"/>
    <s v="Credit Card"/>
    <x v="1"/>
    <s v="North-Bob"/>
    <n v="109507.13999999978"/>
    <n v="107483.37"/>
    <n v="2023.7699999997858"/>
  </r>
  <r>
    <n v="1015"/>
    <x v="334"/>
    <x v="2"/>
    <x v="2"/>
    <n v="2706.15"/>
    <n v="9"/>
    <x v="1"/>
    <n v="4680.3500000000004"/>
    <n v="4758.1099999999997"/>
    <x v="0"/>
    <n v="0.05"/>
    <s v="Bank Transfer"/>
    <x v="0"/>
    <s v="North-David"/>
    <n v="42822.99"/>
    <n v="42123.15"/>
    <n v="699.83999999999651"/>
  </r>
  <r>
    <n v="1069"/>
    <x v="263"/>
    <x v="4"/>
    <x v="2"/>
    <n v="5429.49"/>
    <n v="12"/>
    <x v="3"/>
    <n v="4682.34"/>
    <n v="5036.3999999999996"/>
    <x v="1"/>
    <n v="0.2"/>
    <s v="Bank Transfer"/>
    <x v="1"/>
    <s v="North-Eve"/>
    <n v="60436.799999999996"/>
    <n v="56188.08"/>
    <n v="4248.7199999999939"/>
  </r>
  <r>
    <n v="1097"/>
    <x v="335"/>
    <x v="1"/>
    <x v="0"/>
    <n v="7633.98"/>
    <n v="27"/>
    <x v="1"/>
    <n v="4686.79"/>
    <n v="5046.51"/>
    <x v="0"/>
    <n v="0.05"/>
    <s v="Credit Card"/>
    <x v="1"/>
    <s v="East-Alice"/>
    <n v="136255.77000000002"/>
    <n v="126543.33"/>
    <n v="9712.4400000000169"/>
  </r>
  <r>
    <n v="1024"/>
    <x v="76"/>
    <x v="1"/>
    <x v="3"/>
    <n v="3633.17"/>
    <n v="22"/>
    <x v="2"/>
    <n v="4691.32"/>
    <n v="4752.88"/>
    <x v="0"/>
    <n v="7.0000000000000007E-2"/>
    <s v="Bank Transfer"/>
    <x v="1"/>
    <s v="South-Alice"/>
    <n v="104563.36"/>
    <n v="103209.04"/>
    <n v="1354.320000000007"/>
  </r>
  <r>
    <n v="1005"/>
    <x v="206"/>
    <x v="2"/>
    <x v="3"/>
    <n v="1646.45"/>
    <n v="46"/>
    <x v="3"/>
    <n v="4691.42"/>
    <n v="5026.1899999999996"/>
    <x v="0"/>
    <n v="0.22"/>
    <s v="Bank Transfer"/>
    <x v="1"/>
    <s v="South-David"/>
    <n v="231204.74"/>
    <n v="215805.32"/>
    <n v="15399.419999999984"/>
  </r>
  <r>
    <n v="1023"/>
    <x v="84"/>
    <x v="2"/>
    <x v="1"/>
    <n v="8055.02"/>
    <n v="45"/>
    <x v="2"/>
    <n v="4692.24"/>
    <n v="4825.92"/>
    <x v="0"/>
    <n v="0.19"/>
    <s v="Bank Transfer"/>
    <x v="1"/>
    <s v="West-David"/>
    <n v="217166.4"/>
    <n v="211150.8"/>
    <n v="6015.6000000000058"/>
  </r>
  <r>
    <n v="1030"/>
    <x v="232"/>
    <x v="0"/>
    <x v="3"/>
    <n v="1273.18"/>
    <n v="43"/>
    <x v="0"/>
    <n v="4696.6400000000003"/>
    <n v="4713.68"/>
    <x v="0"/>
    <n v="0.24"/>
    <s v="Bank Transfer"/>
    <x v="0"/>
    <s v="South-Bob"/>
    <n v="202688.24000000002"/>
    <n v="201955.52000000002"/>
    <n v="732.72000000000116"/>
  </r>
  <r>
    <n v="1049"/>
    <x v="252"/>
    <x v="4"/>
    <x v="3"/>
    <n v="1966.55"/>
    <n v="30"/>
    <x v="0"/>
    <n v="4697.4399999999996"/>
    <n v="4752.24"/>
    <x v="1"/>
    <n v="0.28000000000000003"/>
    <s v="Credit Card"/>
    <x v="0"/>
    <s v="South-Eve"/>
    <n v="142567.19999999998"/>
    <n v="140923.19999999998"/>
    <n v="1644"/>
  </r>
  <r>
    <n v="1014"/>
    <x v="112"/>
    <x v="2"/>
    <x v="0"/>
    <n v="9278.5300000000007"/>
    <n v="7"/>
    <x v="0"/>
    <n v="4705.46"/>
    <n v="4747.07"/>
    <x v="1"/>
    <n v="0.27"/>
    <s v="Bank Transfer"/>
    <x v="1"/>
    <s v="East-David"/>
    <n v="33229.49"/>
    <n v="32938.22"/>
    <n v="291.2699999999968"/>
  </r>
  <r>
    <n v="1032"/>
    <x v="146"/>
    <x v="2"/>
    <x v="0"/>
    <n v="3147.18"/>
    <n v="5"/>
    <x v="2"/>
    <n v="4714.74"/>
    <n v="5129.1099999999997"/>
    <x v="1"/>
    <n v="0.25"/>
    <s v="Bank Transfer"/>
    <x v="0"/>
    <s v="East-David"/>
    <n v="25645.55"/>
    <n v="23573.699999999997"/>
    <n v="2071.8500000000022"/>
  </r>
  <r>
    <n v="1037"/>
    <x v="238"/>
    <x v="1"/>
    <x v="3"/>
    <n v="6055.38"/>
    <n v="4"/>
    <x v="2"/>
    <n v="4721.7"/>
    <n v="5017.58"/>
    <x v="1"/>
    <n v="0.24"/>
    <s v="Cash"/>
    <x v="1"/>
    <s v="South-Alice"/>
    <n v="20070.32"/>
    <n v="18886.8"/>
    <n v="1183.5200000000004"/>
  </r>
  <r>
    <n v="1048"/>
    <x v="168"/>
    <x v="2"/>
    <x v="2"/>
    <n v="9070.26"/>
    <n v="42"/>
    <x v="1"/>
    <n v="4723.83"/>
    <n v="5186.1899999999996"/>
    <x v="0"/>
    <n v="0.22"/>
    <s v="Credit Card"/>
    <x v="0"/>
    <s v="North-David"/>
    <n v="217819.97999999998"/>
    <n v="198400.86"/>
    <n v="19419.119999999995"/>
  </r>
  <r>
    <n v="1047"/>
    <x v="314"/>
    <x v="4"/>
    <x v="3"/>
    <n v="733.66"/>
    <n v="47"/>
    <x v="0"/>
    <n v="4729.59"/>
    <n v="4976.68"/>
    <x v="0"/>
    <n v="0.18"/>
    <s v="Credit Card"/>
    <x v="1"/>
    <s v="South-Eve"/>
    <n v="233903.96000000002"/>
    <n v="222290.73"/>
    <n v="11613.23000000001"/>
  </r>
  <r>
    <n v="1005"/>
    <x v="30"/>
    <x v="4"/>
    <x v="2"/>
    <n v="7103.23"/>
    <n v="9"/>
    <x v="1"/>
    <n v="4737.0600000000004"/>
    <n v="4869.5"/>
    <x v="1"/>
    <n v="7.0000000000000007E-2"/>
    <s v="Cash"/>
    <x v="0"/>
    <s v="North-Eve"/>
    <n v="43825.5"/>
    <n v="42633.54"/>
    <n v="1191.9599999999991"/>
  </r>
  <r>
    <n v="1008"/>
    <x v="325"/>
    <x v="3"/>
    <x v="3"/>
    <n v="5104.54"/>
    <n v="24"/>
    <x v="3"/>
    <n v="4739.13"/>
    <n v="4868.95"/>
    <x v="1"/>
    <n v="0.14000000000000001"/>
    <s v="Credit Card"/>
    <x v="1"/>
    <s v="South-Charlie"/>
    <n v="116854.79999999999"/>
    <n v="113739.12"/>
    <n v="3115.679999999993"/>
  </r>
  <r>
    <n v="1032"/>
    <x v="62"/>
    <x v="1"/>
    <x v="2"/>
    <n v="5768.81"/>
    <n v="20"/>
    <x v="1"/>
    <n v="4741.59"/>
    <n v="4975.2299999999996"/>
    <x v="1"/>
    <n v="0.09"/>
    <s v="Credit Card"/>
    <x v="0"/>
    <s v="North-Alice"/>
    <n v="99504.599999999991"/>
    <n v="94831.8"/>
    <n v="4672.7999999999884"/>
  </r>
  <r>
    <n v="1019"/>
    <x v="65"/>
    <x v="1"/>
    <x v="2"/>
    <n v="7948.31"/>
    <n v="12"/>
    <x v="0"/>
    <n v="4745.18"/>
    <n v="5145.88"/>
    <x v="0"/>
    <n v="0.19"/>
    <s v="Credit Card"/>
    <x v="0"/>
    <s v="North-Alice"/>
    <n v="61750.559999999998"/>
    <n v="56942.16"/>
    <n v="4808.3999999999942"/>
  </r>
  <r>
    <n v="1079"/>
    <x v="336"/>
    <x v="4"/>
    <x v="0"/>
    <n v="942.52"/>
    <n v="12"/>
    <x v="2"/>
    <n v="4754.0200000000004"/>
    <n v="5080.74"/>
    <x v="1"/>
    <n v="0.2"/>
    <s v="Cash"/>
    <x v="0"/>
    <s v="East-Eve"/>
    <n v="60968.88"/>
    <n v="57048.240000000005"/>
    <n v="3920.6399999999921"/>
  </r>
  <r>
    <n v="1062"/>
    <x v="324"/>
    <x v="4"/>
    <x v="0"/>
    <n v="3439.72"/>
    <n v="15"/>
    <x v="0"/>
    <n v="4756.55"/>
    <n v="4888.46"/>
    <x v="1"/>
    <n v="0.28999999999999998"/>
    <s v="Credit Card"/>
    <x v="0"/>
    <s v="East-Eve"/>
    <n v="73326.899999999994"/>
    <n v="71348.25"/>
    <n v="1978.6499999999942"/>
  </r>
  <r>
    <n v="1044"/>
    <x v="92"/>
    <x v="4"/>
    <x v="2"/>
    <n v="3594.29"/>
    <n v="5"/>
    <x v="2"/>
    <n v="4762.87"/>
    <n v="5050.46"/>
    <x v="1"/>
    <n v="0.25"/>
    <s v="Cash"/>
    <x v="1"/>
    <s v="North-Eve"/>
    <n v="25252.3"/>
    <n v="23814.35"/>
    <n v="1437.9500000000007"/>
  </r>
  <r>
    <n v="1085"/>
    <x v="49"/>
    <x v="2"/>
    <x v="1"/>
    <n v="9278.4"/>
    <n v="45"/>
    <x v="0"/>
    <n v="4763.1099999999997"/>
    <n v="5119.91"/>
    <x v="0"/>
    <n v="0.28999999999999998"/>
    <s v="Cash"/>
    <x v="1"/>
    <s v="West-David"/>
    <n v="230395.94999999998"/>
    <n v="214339.94999999998"/>
    <n v="16056"/>
  </r>
  <r>
    <n v="1064"/>
    <x v="196"/>
    <x v="4"/>
    <x v="0"/>
    <n v="7412.11"/>
    <n v="10"/>
    <x v="1"/>
    <n v="4764.96"/>
    <n v="5074.42"/>
    <x v="1"/>
    <n v="0.12"/>
    <s v="Cash"/>
    <x v="0"/>
    <s v="East-Eve"/>
    <n v="50744.2"/>
    <n v="47649.599999999999"/>
    <n v="3094.5999999999985"/>
  </r>
  <r>
    <n v="1090"/>
    <x v="98"/>
    <x v="3"/>
    <x v="3"/>
    <n v="9702.27"/>
    <n v="48"/>
    <x v="1"/>
    <n v="4766.53"/>
    <n v="5253.07"/>
    <x v="0"/>
    <n v="0.01"/>
    <s v="Bank Transfer"/>
    <x v="0"/>
    <s v="South-Charlie"/>
    <n v="252147.36"/>
    <n v="228793.44"/>
    <n v="23353.919999999984"/>
  </r>
  <r>
    <n v="1052"/>
    <x v="77"/>
    <x v="3"/>
    <x v="3"/>
    <n v="4744.16"/>
    <n v="26"/>
    <x v="0"/>
    <n v="4771.99"/>
    <n v="5079.6499999999996"/>
    <x v="1"/>
    <n v="0.28999999999999998"/>
    <s v="Credit Card"/>
    <x v="0"/>
    <s v="South-Charlie"/>
    <n v="132070.9"/>
    <n v="124071.73999999999"/>
    <n v="7999.1600000000035"/>
  </r>
  <r>
    <n v="1020"/>
    <x v="55"/>
    <x v="1"/>
    <x v="3"/>
    <n v="7095.64"/>
    <n v="33"/>
    <x v="3"/>
    <n v="4772.03"/>
    <n v="4805.17"/>
    <x v="0"/>
    <n v="0.28000000000000003"/>
    <s v="Bank Transfer"/>
    <x v="0"/>
    <s v="South-Alice"/>
    <n v="158570.61000000002"/>
    <n v="157476.99"/>
    <n v="1093.6200000000244"/>
  </r>
  <r>
    <n v="1023"/>
    <x v="280"/>
    <x v="2"/>
    <x v="3"/>
    <n v="4285.01"/>
    <n v="32"/>
    <x v="1"/>
    <n v="4775.04"/>
    <n v="4785.66"/>
    <x v="1"/>
    <n v="0.03"/>
    <s v="Cash"/>
    <x v="0"/>
    <s v="South-David"/>
    <n v="153141.12"/>
    <n v="152801.28"/>
    <n v="339.83999999999651"/>
  </r>
  <r>
    <n v="1033"/>
    <x v="163"/>
    <x v="2"/>
    <x v="2"/>
    <n v="1115.42"/>
    <n v="43"/>
    <x v="0"/>
    <n v="4781.42"/>
    <n v="4864.34"/>
    <x v="0"/>
    <n v="0.25"/>
    <s v="Bank Transfer"/>
    <x v="0"/>
    <s v="North-David"/>
    <n v="209166.62"/>
    <n v="205601.06"/>
    <n v="3565.5599999999977"/>
  </r>
  <r>
    <n v="1096"/>
    <x v="172"/>
    <x v="3"/>
    <x v="1"/>
    <n v="6206.16"/>
    <n v="27"/>
    <x v="0"/>
    <n v="4809"/>
    <n v="4967.4399999999996"/>
    <x v="1"/>
    <n v="0.12"/>
    <s v="Cash"/>
    <x v="0"/>
    <s v="West-Charlie"/>
    <n v="134120.87999999998"/>
    <n v="129843"/>
    <n v="4277.8799999999756"/>
  </r>
  <r>
    <n v="1032"/>
    <x v="318"/>
    <x v="4"/>
    <x v="1"/>
    <n v="219.82"/>
    <n v="49"/>
    <x v="1"/>
    <n v="4812.41"/>
    <n v="5088"/>
    <x v="0"/>
    <n v="0.09"/>
    <s v="Credit Card"/>
    <x v="0"/>
    <s v="West-Eve"/>
    <n v="249312"/>
    <n v="235808.09"/>
    <n v="13503.910000000003"/>
  </r>
  <r>
    <n v="1050"/>
    <x v="65"/>
    <x v="4"/>
    <x v="3"/>
    <n v="6107.78"/>
    <n v="43"/>
    <x v="3"/>
    <n v="4834.47"/>
    <n v="4973.38"/>
    <x v="0"/>
    <n v="0.03"/>
    <s v="Bank Transfer"/>
    <x v="0"/>
    <s v="South-Eve"/>
    <n v="213855.34"/>
    <n v="207882.21000000002"/>
    <n v="5973.1299999999756"/>
  </r>
  <r>
    <n v="1004"/>
    <x v="164"/>
    <x v="4"/>
    <x v="2"/>
    <n v="8485.9"/>
    <n v="11"/>
    <x v="0"/>
    <n v="4840.33"/>
    <n v="4884.29"/>
    <x v="1"/>
    <n v="0.13"/>
    <s v="Cash"/>
    <x v="0"/>
    <s v="North-Eve"/>
    <n v="53727.19"/>
    <n v="53243.63"/>
    <n v="483.56000000000495"/>
  </r>
  <r>
    <n v="1028"/>
    <x v="146"/>
    <x v="3"/>
    <x v="1"/>
    <n v="5809.35"/>
    <n v="45"/>
    <x v="0"/>
    <n v="4848.9799999999996"/>
    <n v="4985.75"/>
    <x v="0"/>
    <n v="0.2"/>
    <s v="Bank Transfer"/>
    <x v="0"/>
    <s v="West-Charlie"/>
    <n v="224358.75"/>
    <n v="218204.09999999998"/>
    <n v="6154.6500000000233"/>
  </r>
  <r>
    <n v="1062"/>
    <x v="121"/>
    <x v="2"/>
    <x v="1"/>
    <n v="4195.0600000000004"/>
    <n v="45"/>
    <x v="3"/>
    <n v="4849.6000000000004"/>
    <n v="5166.72"/>
    <x v="0"/>
    <n v="0.25"/>
    <s v="Credit Card"/>
    <x v="0"/>
    <s v="West-David"/>
    <n v="232502.40000000002"/>
    <n v="218232.00000000003"/>
    <n v="14270.399999999994"/>
  </r>
  <r>
    <n v="1001"/>
    <x v="232"/>
    <x v="2"/>
    <x v="0"/>
    <n v="3793.91"/>
    <n v="47"/>
    <x v="2"/>
    <n v="4865.33"/>
    <n v="5316.13"/>
    <x v="1"/>
    <n v="0.06"/>
    <s v="Bank Transfer"/>
    <x v="0"/>
    <s v="East-David"/>
    <n v="249858.11000000002"/>
    <n v="228670.51"/>
    <n v="21187.600000000006"/>
  </r>
  <r>
    <n v="1017"/>
    <x v="142"/>
    <x v="2"/>
    <x v="0"/>
    <n v="2222.62"/>
    <n v="35"/>
    <x v="1"/>
    <n v="4867.6400000000003"/>
    <n v="5287.05"/>
    <x v="0"/>
    <n v="0.28000000000000003"/>
    <s v="Credit Card"/>
    <x v="0"/>
    <s v="East-David"/>
    <n v="185046.75"/>
    <n v="170367.40000000002"/>
    <n v="14679.349999999977"/>
  </r>
  <r>
    <n v="1004"/>
    <x v="237"/>
    <x v="0"/>
    <x v="1"/>
    <n v="8003.1"/>
    <n v="38"/>
    <x v="3"/>
    <n v="4881.63"/>
    <n v="5088.0600000000004"/>
    <x v="0"/>
    <n v="0.16"/>
    <s v="Credit Card"/>
    <x v="1"/>
    <s v="West-Bob"/>
    <n v="193346.28000000003"/>
    <n v="185501.94"/>
    <n v="7844.3400000000256"/>
  </r>
  <r>
    <n v="1097"/>
    <x v="294"/>
    <x v="4"/>
    <x v="2"/>
    <n v="6747.64"/>
    <n v="6"/>
    <x v="1"/>
    <n v="4885.9799999999996"/>
    <n v="4949.95"/>
    <x v="0"/>
    <n v="0.17"/>
    <s v="Bank Transfer"/>
    <x v="0"/>
    <s v="North-Eve"/>
    <n v="29699.699999999997"/>
    <n v="29315.879999999997"/>
    <n v="383.81999999999971"/>
  </r>
  <r>
    <n v="1064"/>
    <x v="268"/>
    <x v="1"/>
    <x v="1"/>
    <n v="106.47"/>
    <n v="35"/>
    <x v="0"/>
    <n v="4900.03"/>
    <n v="5118.83"/>
    <x v="0"/>
    <n v="7.0000000000000007E-2"/>
    <s v="Credit Card"/>
    <x v="1"/>
    <s v="West-Alice"/>
    <n v="179159.05"/>
    <n v="171501.05"/>
    <n v="7658"/>
  </r>
  <r>
    <n v="1088"/>
    <x v="336"/>
    <x v="0"/>
    <x v="0"/>
    <n v="6116.75"/>
    <n v="40"/>
    <x v="1"/>
    <n v="4904.93"/>
    <n v="5034.3500000000004"/>
    <x v="1"/>
    <n v="0.1"/>
    <s v="Credit Card"/>
    <x v="1"/>
    <s v="East-Bob"/>
    <n v="201374"/>
    <n v="196197.2"/>
    <n v="5176.7999999999884"/>
  </r>
  <r>
    <n v="1011"/>
    <x v="337"/>
    <x v="0"/>
    <x v="0"/>
    <n v="3484.86"/>
    <n v="2"/>
    <x v="3"/>
    <n v="4906.17"/>
    <n v="5107.43"/>
    <x v="0"/>
    <n v="0.1"/>
    <s v="Cash"/>
    <x v="0"/>
    <s v="East-Bob"/>
    <n v="10214.86"/>
    <n v="9812.34"/>
    <n v="402.52000000000044"/>
  </r>
  <r>
    <n v="1016"/>
    <x v="338"/>
    <x v="4"/>
    <x v="0"/>
    <n v="5490.52"/>
    <n v="26"/>
    <x v="0"/>
    <n v="4906.8500000000004"/>
    <n v="4954.3900000000003"/>
    <x v="1"/>
    <n v="0.25"/>
    <s v="Bank Transfer"/>
    <x v="0"/>
    <s v="East-Eve"/>
    <n v="128814.14000000001"/>
    <n v="127578.1"/>
    <n v="1236.0400000000081"/>
  </r>
  <r>
    <n v="1021"/>
    <x v="305"/>
    <x v="1"/>
    <x v="1"/>
    <n v="9422.75"/>
    <n v="24"/>
    <x v="1"/>
    <n v="4916.17"/>
    <n v="5309.32"/>
    <x v="0"/>
    <n v="0.19"/>
    <s v="Credit Card"/>
    <x v="0"/>
    <s v="West-Alice"/>
    <n v="127423.67999999999"/>
    <n v="117988.08"/>
    <n v="9435.5999999999913"/>
  </r>
  <r>
    <n v="1045"/>
    <x v="90"/>
    <x v="4"/>
    <x v="3"/>
    <n v="1489.21"/>
    <n v="9"/>
    <x v="0"/>
    <n v="4920.34"/>
    <n v="5129.1899999999996"/>
    <x v="0"/>
    <n v="0.13"/>
    <s v="Credit Card"/>
    <x v="0"/>
    <s v="South-Eve"/>
    <n v="46162.71"/>
    <n v="44283.06"/>
    <n v="1879.6500000000015"/>
  </r>
  <r>
    <n v="1043"/>
    <x v="268"/>
    <x v="4"/>
    <x v="3"/>
    <n v="1633.76"/>
    <n v="12"/>
    <x v="1"/>
    <n v="4920.46"/>
    <n v="5079.68"/>
    <x v="1"/>
    <n v="0.21"/>
    <s v="Credit Card"/>
    <x v="1"/>
    <s v="South-Eve"/>
    <n v="60956.160000000003"/>
    <n v="59045.520000000004"/>
    <n v="1910.6399999999994"/>
  </r>
  <r>
    <n v="1099"/>
    <x v="122"/>
    <x v="1"/>
    <x v="0"/>
    <n v="9948.7099999999991"/>
    <n v="27"/>
    <x v="2"/>
    <n v="4929.55"/>
    <n v="4990.33"/>
    <x v="0"/>
    <n v="0.28999999999999998"/>
    <s v="Credit Card"/>
    <x v="0"/>
    <s v="East-Alice"/>
    <n v="134738.91"/>
    <n v="133097.85"/>
    <n v="1641.0599999999977"/>
  </r>
  <r>
    <n v="1030"/>
    <x v="279"/>
    <x v="0"/>
    <x v="0"/>
    <n v="3407.09"/>
    <n v="39"/>
    <x v="0"/>
    <n v="4929.7299999999996"/>
    <n v="5088.0199999999904"/>
    <x v="1"/>
    <n v="0.23"/>
    <s v="Bank Transfer"/>
    <x v="1"/>
    <s v="East-Bob"/>
    <n v="198432.77999999962"/>
    <n v="192259.46999999997"/>
    <n v="6173.3099999996484"/>
  </r>
  <r>
    <n v="1099"/>
    <x v="166"/>
    <x v="1"/>
    <x v="1"/>
    <n v="4567.8100000000004"/>
    <n v="44"/>
    <x v="0"/>
    <n v="4933.1099999999997"/>
    <n v="5245.86"/>
    <x v="0"/>
    <n v="0.13"/>
    <s v="Bank Transfer"/>
    <x v="1"/>
    <s v="West-Alice"/>
    <n v="230817.84"/>
    <n v="217056.84"/>
    <n v="13761"/>
  </r>
  <r>
    <n v="1086"/>
    <x v="339"/>
    <x v="0"/>
    <x v="1"/>
    <n v="2559"/>
    <n v="5"/>
    <x v="1"/>
    <n v="4934.1000000000004"/>
    <n v="5191.0200000000004"/>
    <x v="1"/>
    <n v="0.3"/>
    <s v="Bank Transfer"/>
    <x v="0"/>
    <s v="West-Bob"/>
    <n v="25955.100000000002"/>
    <n v="24670.5"/>
    <n v="1284.6000000000022"/>
  </r>
  <r>
    <n v="1010"/>
    <x v="193"/>
    <x v="3"/>
    <x v="2"/>
    <n v="4733.88"/>
    <n v="4"/>
    <x v="2"/>
    <n v="4943.03"/>
    <n v="5442.15"/>
    <x v="0"/>
    <n v="0.28999999999999998"/>
    <s v="Cash"/>
    <x v="0"/>
    <s v="North-Charlie"/>
    <n v="21768.6"/>
    <n v="19772.12"/>
    <n v="1996.4799999999996"/>
  </r>
  <r>
    <n v="1037"/>
    <x v="33"/>
    <x v="3"/>
    <x v="2"/>
    <n v="7750.81"/>
    <n v="41"/>
    <x v="0"/>
    <n v="4965.07"/>
    <n v="5243.13"/>
    <x v="1"/>
    <n v="0.01"/>
    <s v="Credit Card"/>
    <x v="0"/>
    <s v="North-Charlie"/>
    <n v="214968.33000000002"/>
    <n v="203567.87"/>
    <n v="11400.460000000021"/>
  </r>
  <r>
    <n v="1075"/>
    <x v="66"/>
    <x v="3"/>
    <x v="2"/>
    <n v="9217.85"/>
    <n v="17"/>
    <x v="1"/>
    <n v="4966.66"/>
    <n v="5037.2699999999904"/>
    <x v="0"/>
    <n v="0.24"/>
    <s v="Bank Transfer"/>
    <x v="1"/>
    <s v="North-Charlie"/>
    <n v="85633.589999999836"/>
    <n v="84433.22"/>
    <n v="1200.3699999998353"/>
  </r>
  <r>
    <n v="1003"/>
    <x v="74"/>
    <x v="1"/>
    <x v="0"/>
    <n v="937.2"/>
    <n v="45"/>
    <x v="1"/>
    <n v="4974.1400000000003"/>
    <n v="5227.93"/>
    <x v="1"/>
    <n v="0.21"/>
    <s v="Bank Transfer"/>
    <x v="0"/>
    <s v="East-Alice"/>
    <n v="235256.85"/>
    <n v="223836.30000000002"/>
    <n v="11420.549999999988"/>
  </r>
  <r>
    <n v="1019"/>
    <x v="87"/>
    <x v="3"/>
    <x v="1"/>
    <n v="220.35"/>
    <n v="16"/>
    <x v="0"/>
    <n v="4977.78"/>
    <n v="4995.55"/>
    <x v="1"/>
    <n v="0.25"/>
    <s v="Credit Card"/>
    <x v="0"/>
    <s v="West-Charlie"/>
    <n v="79928.800000000003"/>
    <n v="79644.479999999996"/>
    <n v="284.32000000000698"/>
  </r>
  <r>
    <n v="1060"/>
    <x v="92"/>
    <x v="3"/>
    <x v="1"/>
    <n v="1016.99"/>
    <n v="34"/>
    <x v="1"/>
    <n v="4984.21"/>
    <n v="5184.6400000000003"/>
    <x v="1"/>
    <n v="0.17"/>
    <s v="Cash"/>
    <x v="0"/>
    <s v="West-Charlie"/>
    <n v="176277.76000000001"/>
    <n v="169463.14"/>
    <n v="6814.6199999999953"/>
  </r>
  <r>
    <n v="1058"/>
    <x v="189"/>
    <x v="0"/>
    <x v="0"/>
    <n v="5235.1400000000003"/>
    <n v="6"/>
    <x v="2"/>
    <n v="4987.71"/>
    <n v="4998.78"/>
    <x v="0"/>
    <n v="0.17"/>
    <s v="Cash"/>
    <x v="1"/>
    <s v="East-Bob"/>
    <n v="29992.68"/>
    <n v="29926.260000000002"/>
    <n v="66.419999999998254"/>
  </r>
  <r>
    <n v="1100"/>
    <x v="240"/>
    <x v="1"/>
    <x v="0"/>
    <n v="1387.8"/>
    <n v="34"/>
    <x v="3"/>
    <n v="4991.09"/>
    <n v="5402.28"/>
    <x v="0"/>
    <n v="0"/>
    <s v="Cash"/>
    <x v="1"/>
    <s v="East-Alice"/>
    <n v="183677.52"/>
    <n v="169697.06"/>
    <n v="13980.459999999992"/>
  </r>
  <r>
    <n v="1026"/>
    <x v="337"/>
    <x v="0"/>
    <x v="0"/>
    <n v="614.69000000000005"/>
    <n v="19"/>
    <x v="1"/>
    <n v="4991.68"/>
    <n v="5296.65"/>
    <x v="1"/>
    <n v="0.12"/>
    <s v="Bank Transfer"/>
    <x v="0"/>
    <s v="East-Bob"/>
    <n v="100636.34999999999"/>
    <n v="94841.920000000013"/>
    <n v="5794.4299999999785"/>
  </r>
  <r>
    <n v="1057"/>
    <x v="102"/>
    <x v="3"/>
    <x v="2"/>
    <n v="975.01"/>
    <n v="36"/>
    <x v="2"/>
    <n v="4995.3"/>
    <n v="5165.09"/>
    <x v="0"/>
    <n v="0.24"/>
    <s v="Cash"/>
    <x v="0"/>
    <s v="North-Charlie"/>
    <n v="185943.24"/>
    <n v="179830.80000000002"/>
    <n v="6112.4399999999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1F5B25-DE6D-4491-B3A9-8336E056EA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F18" firstHeaderRow="1" firstDataRow="1" firstDataCol="0"/>
  <pivotFields count="22">
    <pivotField showAll="0"/>
    <pivotField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showAll="0"/>
    <pivotField showAll="0">
      <items count="5">
        <item x="0"/>
        <item x="2"/>
        <item x="3"/>
        <item x="1"/>
        <item t="default"/>
      </items>
    </pivotField>
    <pivotField numFmtId="164" showAll="0"/>
    <pivotField showAll="0"/>
    <pivotField showAll="0"/>
    <pivotField numFmtId="164" showAll="0"/>
    <pivotField numFmtId="164" showAll="0"/>
    <pivotField showAll="0"/>
    <pivotField showAll="0"/>
    <pivotField showAll="0"/>
    <pivotField showAll="0"/>
    <pivotField showAll="0"/>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Sum of Gross_Sales" fld="14"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5A332-7CD1-42DA-9F0B-B0AF650B16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9:G15" firstHeaderRow="1" firstDataRow="1" firstDataCol="1"/>
  <pivotFields count="22">
    <pivotField showAll="0"/>
    <pivotField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numFmtId="164" showAll="0"/>
    <pivotField showAll="0"/>
    <pivotField showAll="0"/>
    <pivotField numFmtId="164" showAll="0"/>
    <pivotField numFmtId="164" showAll="0"/>
    <pivotField showAll="0"/>
    <pivotField showAll="0"/>
    <pivotField showAll="0"/>
    <pivotField showAll="0"/>
    <pivotField showAll="0"/>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6">
    <i>
      <x v="3"/>
    </i>
    <i>
      <x v="4"/>
    </i>
    <i>
      <x/>
    </i>
    <i>
      <x v="1"/>
    </i>
    <i>
      <x v="2"/>
    </i>
    <i t="grand">
      <x/>
    </i>
  </rowItems>
  <colItems count="1">
    <i/>
  </colItems>
  <dataFields count="1">
    <dataField name="Sum of Net_Profit" fld="16" baseField="0" baseItem="0" numFmtId="164"/>
  </dataFields>
  <formats count="2">
    <format dxfId="2">
      <pivotArea outline="0" collapsedLevelsAreSubtotals="1" fieldPosition="0"/>
    </format>
    <format dxfId="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98AE71-9D5B-43B3-81D8-033C47396E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C18" firstHeaderRow="0" firstDataRow="1" firstDataCol="1"/>
  <pivotFields count="22">
    <pivotField showAll="0"/>
    <pivotField axis="axisRow"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showAll="0"/>
    <pivotField showAll="0">
      <items count="5">
        <item x="0"/>
        <item x="2"/>
        <item x="3"/>
        <item x="1"/>
        <item t="default"/>
      </items>
    </pivotField>
    <pivotField numFmtId="164" showAll="0"/>
    <pivotField showAll="0"/>
    <pivotField showAll="0"/>
    <pivotField numFmtId="164" showAll="0"/>
    <pivotField numFmtId="164" showAll="0"/>
    <pivotField showAll="0"/>
    <pivotField showAll="0"/>
    <pivotField showAll="0"/>
    <pivotField showAll="0"/>
    <pivotField showAll="0"/>
    <pivotField dataField="1"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2">
    <field x="17"/>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Gross_Sales" fld="14" baseField="0" baseItem="0"/>
    <dataField name="Sum of Net_Profit" fld="16" baseField="0" baseItem="0"/>
  </dataFields>
  <formats count="1">
    <format dxfId="3">
      <pivotArea dataOnly="0"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014504-365D-4B97-BDF3-9E2F6D6AA3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D21" firstHeaderRow="1" firstDataRow="1" firstDataCol="0"/>
  <pivotFields count="22">
    <pivotField showAll="0"/>
    <pivotField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showAll="0"/>
    <pivotField showAll="0">
      <items count="5">
        <item x="0"/>
        <item x="2"/>
        <item x="3"/>
        <item x="1"/>
        <item t="default"/>
      </items>
    </pivotField>
    <pivotField numFmtId="164" showAll="0"/>
    <pivotField showAll="0"/>
    <pivotField showAll="0"/>
    <pivotField numFmtId="164" showAll="0"/>
    <pivotField numFmtId="164" showAll="0"/>
    <pivotField showAll="0"/>
    <pivotField showAll="0"/>
    <pivotField showAll="0"/>
    <pivotField showAll="0"/>
    <pivotField showAll="0"/>
    <pivotField numFmtId="164" showAll="0"/>
    <pivotField numFmtId="164" showAll="0"/>
    <pivotField numFmtId="164" showAll="0"/>
    <pivotField showAll="0" defaultSubtotal="0"/>
    <pivotField showAll="0" defaultSubtotal="0"/>
    <pivotField showAll="0" defaultSubtotal="0">
      <items count="4">
        <item x="0"/>
        <item x="1"/>
        <item x="2"/>
        <item x="3"/>
      </items>
    </pivotField>
    <pivotField dragToRow="0" dragToCol="0" dragToPage="0" showAll="0" defaultSubtotal="0"/>
    <pivotField dataField="1" dragToRow="0" dragToCol="0" dragToPage="0" showAll="0" defaultSubtotal="0"/>
  </pivotFields>
  <rowItems count="1">
    <i/>
  </rowItems>
  <colItems count="1">
    <i/>
  </colItems>
  <dataFields count="1">
    <dataField name="Sum of Avg_Order_Value"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423EE1-0446-4C53-BFFC-538CEF4C3C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G6" firstHeaderRow="1" firstDataRow="1" firstDataCol="1"/>
  <pivotFields count="22">
    <pivotField showAll="0"/>
    <pivotField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showAll="0"/>
    <pivotField showAll="0">
      <items count="5">
        <item x="0"/>
        <item x="2"/>
        <item x="3"/>
        <item x="1"/>
        <item t="default"/>
      </items>
    </pivotField>
    <pivotField numFmtId="164" showAll="0"/>
    <pivotField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3">
        <item x="1"/>
        <item x="0"/>
        <item t="default"/>
      </items>
    </pivotField>
    <pivotField showAll="0"/>
    <pivotField showAll="0"/>
    <pivotField showAll="0">
      <items count="3">
        <item x="0"/>
        <item x="1"/>
        <item t="default"/>
      </items>
    </pivotField>
    <pivotField showAll="0"/>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6"/>
  </rowFields>
  <rowItems count="5">
    <i>
      <x v="2"/>
    </i>
    <i>
      <x v="1"/>
    </i>
    <i>
      <x v="3"/>
    </i>
    <i>
      <x/>
    </i>
    <i t="grand">
      <x/>
    </i>
  </rowItems>
  <colItems count="1">
    <i/>
  </colItems>
  <dataFields count="1">
    <dataField name="Sum of Gross_Sales" fld="14" baseField="0" baseItem="0" numFmtId="164"/>
  </dataFields>
  <formats count="2">
    <format dxfId="5">
      <pivotArea outline="0" collapsedLevelsAreSubtotals="1" fieldPosition="0"/>
    </format>
    <format dxfId="4">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2"/>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3"/>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1A2EE2-16CE-4160-A8FB-45325548A8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B21" firstHeaderRow="1" firstDataRow="1" firstDataCol="0"/>
  <pivotFields count="22">
    <pivotField showAll="0"/>
    <pivotField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showAll="0"/>
    <pivotField showAll="0">
      <items count="5">
        <item x="0"/>
        <item x="2"/>
        <item x="3"/>
        <item x="1"/>
        <item t="default"/>
      </items>
    </pivotField>
    <pivotField numFmtId="164" showAll="0"/>
    <pivotField showAll="0"/>
    <pivotField showAll="0"/>
    <pivotField numFmtId="164" showAll="0"/>
    <pivotField numFmtId="164" showAll="0"/>
    <pivotField showAll="0"/>
    <pivotField showAll="0"/>
    <pivotField showAll="0"/>
    <pivotField showAll="0"/>
    <pivotField showAll="0"/>
    <pivotField numFmtId="164" showAll="0"/>
    <pivotField numFmtId="164" showAll="0"/>
    <pivotField numFmtId="164" showAll="0"/>
    <pivotField showAll="0" defaultSubtotal="0"/>
    <pivotField showAll="0" defaultSubtotal="0"/>
    <pivotField showAll="0" defaultSubtotal="0">
      <items count="4">
        <item x="0"/>
        <item x="1"/>
        <item x="2"/>
        <item x="3"/>
      </items>
    </pivotField>
    <pivotField dataField="1" dragToRow="0" dragToCol="0" dragToPage="0" showAll="0" defaultSubtotal="0"/>
    <pivotField dragToRow="0" dragToCol="0" dragToPage="0" showAll="0" defaultSubtotal="0"/>
  </pivotFields>
  <rowItems count="1">
    <i/>
  </rowItems>
  <colItems count="1">
    <i/>
  </colItems>
  <dataFields count="1">
    <dataField name="Sum of Profit_Margin" fld="20"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7F87CE-AD02-46CA-B2DC-C9C30FD09E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2">
    <pivotField showAll="0"/>
    <pivotField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showAll="0"/>
    <pivotField showAll="0">
      <items count="5">
        <item x="0"/>
        <item x="2"/>
        <item x="3"/>
        <item x="1"/>
        <item t="default"/>
      </items>
    </pivotField>
    <pivotField numFmtId="164" showAll="0"/>
    <pivotField showAll="0"/>
    <pivotField showAll="0"/>
    <pivotField numFmtId="164" showAll="0"/>
    <pivotField numFmtId="164" showAll="0"/>
    <pivotField showAll="0"/>
    <pivotField showAll="0"/>
    <pivotField showAll="0"/>
    <pivotField showAll="0"/>
    <pivotField showAll="0"/>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Items count="1">
    <i/>
  </rowItems>
  <colItems count="1">
    <i/>
  </colItems>
  <dataFields count="1">
    <dataField name="Sum of Net_Profit" fld="1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7736DB-5AB8-49A9-9B35-BD04BD8406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H18" firstHeaderRow="1" firstDataRow="1" firstDataCol="0"/>
  <pivotFields count="22">
    <pivotField showAll="0"/>
    <pivotField numFmtId="14" showAll="0">
      <items count="341">
        <item x="106"/>
        <item x="260"/>
        <item x="123"/>
        <item x="196"/>
        <item x="91"/>
        <item x="324"/>
        <item x="18"/>
        <item x="130"/>
        <item x="33"/>
        <item x="233"/>
        <item x="92"/>
        <item x="114"/>
        <item x="271"/>
        <item x="189"/>
        <item x="21"/>
        <item x="60"/>
        <item x="174"/>
        <item x="223"/>
        <item x="330"/>
        <item x="273"/>
        <item x="227"/>
        <item x="285"/>
        <item x="158"/>
        <item x="141"/>
        <item x="172"/>
        <item x="239"/>
        <item x="246"/>
        <item x="178"/>
        <item x="102"/>
        <item x="298"/>
        <item x="220"/>
        <item x="22"/>
        <item x="80"/>
        <item x="168"/>
        <item x="3"/>
        <item x="117"/>
        <item x="222"/>
        <item x="29"/>
        <item x="159"/>
        <item x="109"/>
        <item x="96"/>
        <item x="205"/>
        <item x="165"/>
        <item x="214"/>
        <item x="143"/>
        <item x="74"/>
        <item x="12"/>
        <item x="320"/>
        <item x="283"/>
        <item x="251"/>
        <item x="253"/>
        <item x="297"/>
        <item x="339"/>
        <item x="316"/>
        <item x="129"/>
        <item x="243"/>
        <item x="184"/>
        <item x="281"/>
        <item x="58"/>
        <item x="289"/>
        <item x="180"/>
        <item x="38"/>
        <item x="262"/>
        <item x="278"/>
        <item x="282"/>
        <item x="62"/>
        <item x="93"/>
        <item x="259"/>
        <item x="121"/>
        <item x="244"/>
        <item x="111"/>
        <item x="127"/>
        <item x="337"/>
        <item x="275"/>
        <item x="294"/>
        <item x="183"/>
        <item x="103"/>
        <item x="88"/>
        <item x="230"/>
        <item x="274"/>
        <item x="81"/>
        <item x="169"/>
        <item x="49"/>
        <item x="296"/>
        <item x="206"/>
        <item x="293"/>
        <item x="229"/>
        <item x="77"/>
        <item x="312"/>
        <item x="241"/>
        <item x="56"/>
        <item x="52"/>
        <item x="138"/>
        <item x="250"/>
        <item x="325"/>
        <item x="122"/>
        <item x="193"/>
        <item x="191"/>
        <item x="234"/>
        <item x="20"/>
        <item x="311"/>
        <item x="321"/>
        <item x="57"/>
        <item x="319"/>
        <item x="95"/>
        <item x="248"/>
        <item x="292"/>
        <item x="332"/>
        <item x="55"/>
        <item x="101"/>
        <item x="83"/>
        <item x="150"/>
        <item x="148"/>
        <item x="79"/>
        <item x="261"/>
        <item x="149"/>
        <item x="213"/>
        <item x="116"/>
        <item x="185"/>
        <item x="232"/>
        <item x="72"/>
        <item x="291"/>
        <item x="310"/>
        <item x="295"/>
        <item x="24"/>
        <item x="14"/>
        <item x="322"/>
        <item x="254"/>
        <item x="299"/>
        <item x="218"/>
        <item x="315"/>
        <item x="256"/>
        <item x="304"/>
        <item x="110"/>
        <item x="190"/>
        <item x="48"/>
        <item x="142"/>
        <item x="45"/>
        <item x="194"/>
        <item x="125"/>
        <item x="177"/>
        <item x="43"/>
        <item x="8"/>
        <item x="182"/>
        <item x="219"/>
        <item x="13"/>
        <item x="238"/>
        <item x="318"/>
        <item x="9"/>
        <item x="37"/>
        <item x="132"/>
        <item x="313"/>
        <item x="255"/>
        <item x="195"/>
        <item x="160"/>
        <item x="199"/>
        <item x="211"/>
        <item x="15"/>
        <item x="51"/>
        <item x="147"/>
        <item x="71"/>
        <item x="201"/>
        <item x="305"/>
        <item x="90"/>
        <item x="44"/>
        <item x="134"/>
        <item x="237"/>
        <item x="120"/>
        <item x="188"/>
        <item x="202"/>
        <item x="112"/>
        <item x="286"/>
        <item x="144"/>
        <item x="323"/>
        <item x="31"/>
        <item x="145"/>
        <item x="186"/>
        <item x="284"/>
        <item x="326"/>
        <item x="288"/>
        <item x="107"/>
        <item x="156"/>
        <item x="279"/>
        <item x="224"/>
        <item x="157"/>
        <item x="128"/>
        <item x="65"/>
        <item x="272"/>
        <item x="155"/>
        <item x="26"/>
        <item x="307"/>
        <item x="269"/>
        <item x="327"/>
        <item x="258"/>
        <item x="334"/>
        <item x="135"/>
        <item x="162"/>
        <item x="161"/>
        <item x="236"/>
        <item x="328"/>
        <item x="152"/>
        <item x="303"/>
        <item x="84"/>
        <item x="314"/>
        <item x="226"/>
        <item x="197"/>
        <item x="70"/>
        <item x="68"/>
        <item x="301"/>
        <item x="66"/>
        <item x="146"/>
        <item x="215"/>
        <item x="50"/>
        <item x="35"/>
        <item x="153"/>
        <item x="69"/>
        <item x="42"/>
        <item x="270"/>
        <item x="331"/>
        <item x="115"/>
        <item x="221"/>
        <item x="41"/>
        <item x="118"/>
        <item x="204"/>
        <item x="277"/>
        <item x="73"/>
        <item x="166"/>
        <item x="1"/>
        <item x="171"/>
        <item x="11"/>
        <item x="124"/>
        <item x="280"/>
        <item x="167"/>
        <item x="257"/>
        <item x="139"/>
        <item x="30"/>
        <item x="97"/>
        <item x="86"/>
        <item x="235"/>
        <item x="27"/>
        <item x="333"/>
        <item x="198"/>
        <item x="5"/>
        <item x="140"/>
        <item x="108"/>
        <item x="207"/>
        <item x="39"/>
        <item x="329"/>
        <item x="154"/>
        <item x="17"/>
        <item x="187"/>
        <item x="32"/>
        <item x="61"/>
        <item x="317"/>
        <item x="287"/>
        <item x="25"/>
        <item x="209"/>
        <item x="203"/>
        <item x="336"/>
        <item x="249"/>
        <item x="104"/>
        <item x="245"/>
        <item x="99"/>
        <item x="290"/>
        <item x="300"/>
        <item x="87"/>
        <item x="210"/>
        <item x="151"/>
        <item x="98"/>
        <item x="16"/>
        <item x="34"/>
        <item x="252"/>
        <item x="7"/>
        <item x="208"/>
        <item x="136"/>
        <item x="46"/>
        <item x="85"/>
        <item x="335"/>
        <item x="309"/>
        <item x="163"/>
        <item x="53"/>
        <item x="265"/>
        <item x="308"/>
        <item x="63"/>
        <item x="82"/>
        <item x="179"/>
        <item x="94"/>
        <item x="126"/>
        <item x="181"/>
        <item x="225"/>
        <item x="10"/>
        <item x="192"/>
        <item x="100"/>
        <item x="47"/>
        <item x="217"/>
        <item x="0"/>
        <item x="105"/>
        <item x="19"/>
        <item x="59"/>
        <item x="28"/>
        <item x="137"/>
        <item x="113"/>
        <item x="133"/>
        <item x="338"/>
        <item x="76"/>
        <item x="64"/>
        <item x="242"/>
        <item x="264"/>
        <item x="176"/>
        <item x="119"/>
        <item x="175"/>
        <item x="240"/>
        <item x="266"/>
        <item x="67"/>
        <item x="78"/>
        <item x="4"/>
        <item x="306"/>
        <item x="276"/>
        <item x="302"/>
        <item x="173"/>
        <item x="36"/>
        <item x="75"/>
        <item x="267"/>
        <item x="131"/>
        <item x="89"/>
        <item x="40"/>
        <item x="23"/>
        <item x="268"/>
        <item x="263"/>
        <item x="247"/>
        <item x="164"/>
        <item x="212"/>
        <item x="170"/>
        <item x="216"/>
        <item x="200"/>
        <item x="6"/>
        <item x="228"/>
        <item x="54"/>
        <item x="231"/>
        <item x="2"/>
        <item t="default"/>
      </items>
    </pivotField>
    <pivotField showAll="0"/>
    <pivotField showAll="0">
      <items count="5">
        <item x="0"/>
        <item x="2"/>
        <item x="3"/>
        <item x="1"/>
        <item t="default"/>
      </items>
    </pivotField>
    <pivotField numFmtId="164" showAll="0"/>
    <pivotField dataField="1" showAll="0"/>
    <pivotField showAll="0"/>
    <pivotField numFmtId="164" showAll="0"/>
    <pivotField numFmtId="164" showAll="0"/>
    <pivotField showAll="0"/>
    <pivotField showAll="0"/>
    <pivotField showAll="0"/>
    <pivotField showAll="0"/>
    <pivotField showAll="0"/>
    <pivotField numFmtId="164" showAll="0"/>
    <pivotField numFmtId="164" showAll="0"/>
    <pivotField numFmtId="164"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Sum of Quantity_Sold" fld="5"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731F5A-9461-4FE9-A320-8D6B4030C41E}" sourceName="Region">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45724379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0B7E9A2-03D2-4D9E-B8FC-8C4D97B70CF7}" sourceName="Product_Category">
  <pivotTables>
    <pivotTable tabId="2" name="PivotTable3"/>
  </pivotTables>
  <data>
    <tabular pivotCacheId="145724379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0CCC59C-B4A9-4965-B4BF-61C7949938D8}" sourceName="Customer_Type">
  <pivotTables>
    <pivotTable tabId="2" name="PivotTable3"/>
  </pivotTables>
  <data>
    <tabular pivotCacheId="145724379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1D4A65C-B987-4773-903C-0B7D799D7E7E}" sourceName="Sales_Channel">
  <pivotTables>
    <pivotTable tabId="2" name="PivotTable3"/>
  </pivotTables>
  <data>
    <tabular pivotCacheId="145724379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FA7FB8-4C6D-415F-A965-D6CE4291A907}" cache="Slicer_Region" caption="Region" rowHeight="241300"/>
  <slicer name="Product_Category" xr10:uid="{97B4492A-03C4-4DCB-AAD7-65A1E4B28F2A}" cache="Slicer_Product_Category" caption="Product_Category" rowHeight="241300"/>
  <slicer name="Customer_Type" xr10:uid="{FDECAE2D-3EBD-48AC-8517-6DBED723C60B}" cache="Slicer_Customer_Type" caption="Customer_Type" rowHeight="241300"/>
  <slicer name="Sales_Channel" xr10:uid="{E2A4D7E5-EA4E-471F-A73D-AA835C28CEB3}" cache="Slicer_Sales_Channel" caption="Sales_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B5CE1A-FD66-4457-8532-DC2B670A4229}" name="_Salesdata" displayName="_Salesdata" ref="A1:R1001" totalsRowShown="0">
  <autoFilter ref="A1:R1001" xr:uid="{F6B5CE1A-FD66-4457-8532-DC2B670A4229}"/>
  <sortState xmlns:xlrd2="http://schemas.microsoft.com/office/spreadsheetml/2017/richdata2" ref="A2:N1001">
    <sortCondition ref="H14:H1001"/>
  </sortState>
  <tableColumns count="18">
    <tableColumn id="1" xr3:uid="{9E162A31-53EF-4F92-BB38-0D434ED51940}" name="Product_ID"/>
    <tableColumn id="2" xr3:uid="{8A28A2CD-4E20-4115-9A4E-E41C749130F3}" name="Sale_Date" dataDxfId="15"/>
    <tableColumn id="3" xr3:uid="{DC1686E0-E187-447A-B553-F2E39DBB8DDC}" name="Sales_Rep"/>
    <tableColumn id="4" xr3:uid="{EB73FD35-5C7F-49CA-9C0A-75548F07EBD2}" name="Region"/>
    <tableColumn id="5" xr3:uid="{CA9ABA7C-D41A-4D63-9FD9-BEF5DE72BE64}" name="Sales_Amount" dataDxfId="14"/>
    <tableColumn id="6" xr3:uid="{A55CDF4E-3F56-4C33-B9F3-97D2D7E9363A}" name="Quantity_Sold"/>
    <tableColumn id="7" xr3:uid="{B416BD86-F126-4483-AB3B-E5252C600E68}" name="Product_Category"/>
    <tableColumn id="8" xr3:uid="{AF2A7696-905A-471C-8D50-886F39CFB0C5}" name="Unit_Cost" dataDxfId="13"/>
    <tableColumn id="9" xr3:uid="{2109EE33-583F-4E37-A35B-210C94C000C3}" name="Unit_Price" dataDxfId="12"/>
    <tableColumn id="10" xr3:uid="{C9844B3E-5CB3-4B27-BEC2-789CE3EB28C2}" name="Customer_Type"/>
    <tableColumn id="11" xr3:uid="{69EC6BDD-D592-44A2-B578-349D1A36C81D}" name="Discount"/>
    <tableColumn id="12" xr3:uid="{BB980392-81D0-478E-8C10-0A4EB3025B88}" name="Payment_Method"/>
    <tableColumn id="13" xr3:uid="{7038178A-EE7F-4C5A-B132-542BC649E873}" name="Sales_Channel"/>
    <tableColumn id="14" xr3:uid="{6F0342C5-BC07-4131-A714-57D6BC437A3E}" name="Region_and_Sales_Rep"/>
    <tableColumn id="15" xr3:uid="{E41EEE8D-F5FE-4F44-B85C-795EC08CE961}" name="Gross_Sales" dataDxfId="11">
      <calculatedColumnFormula>_Salesdata[[#This Row],[Unit_Price]] * _Salesdata[[#This Row],[Quantity_Sold]]</calculatedColumnFormula>
    </tableColumn>
    <tableColumn id="16" xr3:uid="{80F3FD40-853C-46D3-83BF-E28FE3490E3C}" name="Total Cost" dataDxfId="10">
      <calculatedColumnFormula>_Salesdata[[#This Row],[Unit_Cost]] * _Salesdata[[#This Row],[Quantity_Sold]]</calculatedColumnFormula>
    </tableColumn>
    <tableColumn id="17" xr3:uid="{F9793417-5820-4B2C-8435-53FE04DFC831}" name="Net_Profit" dataDxfId="9">
      <calculatedColumnFormula>_Salesdata[[#This Row],[Gross_Sales]] - _Salesdata[[#This Row],[Total Cost]]</calculatedColumnFormula>
    </tableColumn>
    <tableColumn id="18" xr3:uid="{A586DF0D-AEF0-46CD-8A63-171FB7C40DE8}" name="Column1"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5A2C-3EE3-4FAF-8CCF-F8F1EBE004E1}">
  <dimension ref="A1:R1001"/>
  <sheetViews>
    <sheetView tabSelected="1" zoomScale="54" workbookViewId="0">
      <selection activeCell="D6" sqref="D6:D7"/>
    </sheetView>
  </sheetViews>
  <sheetFormatPr defaultRowHeight="15" x14ac:dyDescent="0.25"/>
  <cols>
    <col min="1" max="1" width="13" bestFit="1" customWidth="1"/>
    <col min="2" max="2" width="12.140625" bestFit="1" customWidth="1"/>
    <col min="3" max="3" width="12.28515625" bestFit="1" customWidth="1"/>
    <col min="5" max="5" width="16.140625" bestFit="1" customWidth="1"/>
    <col min="6" max="6" width="16" bestFit="1" customWidth="1"/>
    <col min="7" max="7" width="19.140625" bestFit="1" customWidth="1"/>
    <col min="8" max="8" width="12" bestFit="1" customWidth="1"/>
    <col min="9" max="9" width="12.5703125" bestFit="1" customWidth="1"/>
    <col min="10" max="10" width="17.28515625" bestFit="1" customWidth="1"/>
    <col min="11" max="11" width="11" bestFit="1" customWidth="1"/>
    <col min="12" max="12" width="19.5703125" bestFit="1" customWidth="1"/>
    <col min="13" max="13" width="16.28515625" bestFit="1" customWidth="1"/>
    <col min="15" max="15" width="13.85546875" bestFit="1" customWidth="1"/>
    <col min="16" max="16" width="12" bestFit="1" customWidth="1"/>
  </cols>
  <sheetData>
    <row r="1" spans="1:18" x14ac:dyDescent="0.25">
      <c r="A1" t="s">
        <v>0</v>
      </c>
      <c r="B1" s="1" t="s">
        <v>1</v>
      </c>
      <c r="C1" t="s">
        <v>2</v>
      </c>
      <c r="D1" t="s">
        <v>3</v>
      </c>
      <c r="E1" s="2" t="s">
        <v>4</v>
      </c>
      <c r="F1" t="s">
        <v>5</v>
      </c>
      <c r="G1" t="s">
        <v>6</v>
      </c>
      <c r="H1" s="2" t="s">
        <v>7</v>
      </c>
      <c r="I1" s="2" t="s">
        <v>8</v>
      </c>
      <c r="J1" t="s">
        <v>9</v>
      </c>
      <c r="K1" t="s">
        <v>10</v>
      </c>
      <c r="L1" t="s">
        <v>11</v>
      </c>
      <c r="M1" t="s">
        <v>12</v>
      </c>
      <c r="N1" t="s">
        <v>13</v>
      </c>
      <c r="O1" t="s">
        <v>14</v>
      </c>
      <c r="P1" t="s">
        <v>15</v>
      </c>
      <c r="Q1" t="s">
        <v>16</v>
      </c>
      <c r="R1" t="s">
        <v>74</v>
      </c>
    </row>
    <row r="2" spans="1:18" x14ac:dyDescent="0.25">
      <c r="A2">
        <v>1090</v>
      </c>
      <c r="B2" s="1">
        <v>45244</v>
      </c>
      <c r="C2" t="s">
        <v>17</v>
      </c>
      <c r="D2" t="s">
        <v>18</v>
      </c>
      <c r="E2" s="2">
        <v>6575.91</v>
      </c>
      <c r="F2">
        <v>1</v>
      </c>
      <c r="G2" t="s">
        <v>19</v>
      </c>
      <c r="H2" s="2">
        <v>60.28</v>
      </c>
      <c r="I2" s="2">
        <v>260.73</v>
      </c>
      <c r="J2" t="s">
        <v>20</v>
      </c>
      <c r="K2">
        <v>0.17</v>
      </c>
      <c r="L2" t="s">
        <v>21</v>
      </c>
      <c r="M2" t="s">
        <v>22</v>
      </c>
      <c r="N2" t="s">
        <v>23</v>
      </c>
      <c r="O2" s="2">
        <f>_Salesdata[[#This Row],[Unit_Price]] * _Salesdata[[#This Row],[Quantity_Sold]]</f>
        <v>260.73</v>
      </c>
      <c r="P2" s="2">
        <f>_Salesdata[[#This Row],[Unit_Cost]] * _Salesdata[[#This Row],[Quantity_Sold]]</f>
        <v>60.28</v>
      </c>
      <c r="Q2" s="2">
        <f>_Salesdata[[#This Row],[Gross_Sales]] - _Salesdata[[#This Row],[Total Cost]]</f>
        <v>200.45000000000002</v>
      </c>
      <c r="R2" s="2"/>
    </row>
    <row r="3" spans="1:18" x14ac:dyDescent="0.25">
      <c r="A3">
        <v>1077</v>
      </c>
      <c r="B3" s="1">
        <v>45168</v>
      </c>
      <c r="C3" t="s">
        <v>24</v>
      </c>
      <c r="D3" t="s">
        <v>25</v>
      </c>
      <c r="E3" s="2">
        <v>8660.1200000000008</v>
      </c>
      <c r="F3">
        <v>25</v>
      </c>
      <c r="G3" t="s">
        <v>26</v>
      </c>
      <c r="H3" s="2">
        <v>61.5</v>
      </c>
      <c r="I3" s="2">
        <v>258.91999999999899</v>
      </c>
      <c r="J3" t="s">
        <v>27</v>
      </c>
      <c r="K3">
        <v>0.17</v>
      </c>
      <c r="L3" t="s">
        <v>28</v>
      </c>
      <c r="M3" t="s">
        <v>22</v>
      </c>
      <c r="N3" t="s">
        <v>29</v>
      </c>
      <c r="O3" s="2">
        <f>_Salesdata[[#This Row],[Unit_Price]] * _Salesdata[[#This Row],[Quantity_Sold]]</f>
        <v>6472.9999999999745</v>
      </c>
      <c r="P3" s="2">
        <f>_Salesdata[[#This Row],[Unit_Cost]] * _Salesdata[[#This Row],[Quantity_Sold]]</f>
        <v>1537.5</v>
      </c>
      <c r="Q3" s="2">
        <f>_Salesdata[[#This Row],[Gross_Sales]] - _Salesdata[[#This Row],[Total Cost]]</f>
        <v>4935.4999999999745</v>
      </c>
      <c r="R3" s="2"/>
    </row>
    <row r="4" spans="1:18" x14ac:dyDescent="0.25">
      <c r="A4">
        <v>1078</v>
      </c>
      <c r="B4" s="1">
        <v>45292</v>
      </c>
      <c r="C4" t="s">
        <v>30</v>
      </c>
      <c r="D4" t="s">
        <v>18</v>
      </c>
      <c r="E4" s="2">
        <v>8377.57</v>
      </c>
      <c r="F4">
        <v>42</v>
      </c>
      <c r="G4" t="s">
        <v>31</v>
      </c>
      <c r="H4" s="2">
        <v>63.41</v>
      </c>
      <c r="I4" s="2">
        <v>314.93</v>
      </c>
      <c r="J4" t="s">
        <v>20</v>
      </c>
      <c r="K4">
        <v>0.03</v>
      </c>
      <c r="L4" t="s">
        <v>21</v>
      </c>
      <c r="M4" t="s">
        <v>32</v>
      </c>
      <c r="N4" t="s">
        <v>33</v>
      </c>
      <c r="O4" s="2">
        <f>_Salesdata[[#This Row],[Unit_Price]] * _Salesdata[[#This Row],[Quantity_Sold]]</f>
        <v>13227.06</v>
      </c>
      <c r="P4" s="2">
        <f>_Salesdata[[#This Row],[Unit_Cost]] * _Salesdata[[#This Row],[Quantity_Sold]]</f>
        <v>2663.22</v>
      </c>
      <c r="Q4" s="2">
        <f>_Salesdata[[#This Row],[Gross_Sales]] - _Salesdata[[#This Row],[Total Cost]]</f>
        <v>10563.84</v>
      </c>
      <c r="R4" s="2"/>
    </row>
    <row r="5" spans="1:18" x14ac:dyDescent="0.25">
      <c r="A5">
        <v>1026</v>
      </c>
      <c r="B5" s="1">
        <v>44963</v>
      </c>
      <c r="C5" t="s">
        <v>17</v>
      </c>
      <c r="D5" t="s">
        <v>25</v>
      </c>
      <c r="E5" s="2">
        <v>961.47</v>
      </c>
      <c r="F5">
        <v>34</v>
      </c>
      <c r="G5" t="s">
        <v>26</v>
      </c>
      <c r="H5" s="2">
        <v>68.33</v>
      </c>
      <c r="I5" s="2">
        <v>219.07999999999899</v>
      </c>
      <c r="J5" t="s">
        <v>27</v>
      </c>
      <c r="K5">
        <v>0.02</v>
      </c>
      <c r="L5" t="s">
        <v>28</v>
      </c>
      <c r="M5" t="s">
        <v>22</v>
      </c>
      <c r="N5" t="s">
        <v>34</v>
      </c>
      <c r="O5" s="2">
        <f>_Salesdata[[#This Row],[Unit_Price]] * _Salesdata[[#This Row],[Quantity_Sold]]</f>
        <v>7448.7199999999657</v>
      </c>
      <c r="P5" s="2">
        <f>_Salesdata[[#This Row],[Unit_Cost]] * _Salesdata[[#This Row],[Quantity_Sold]]</f>
        <v>2323.2199999999998</v>
      </c>
      <c r="Q5" s="2">
        <f>_Salesdata[[#This Row],[Gross_Sales]] - _Salesdata[[#This Row],[Total Cost]]</f>
        <v>5125.4999999999654</v>
      </c>
      <c r="R5" s="2"/>
    </row>
    <row r="6" spans="1:18" x14ac:dyDescent="0.25">
      <c r="A6">
        <v>1008</v>
      </c>
      <c r="B6" s="1">
        <v>45265</v>
      </c>
      <c r="C6" t="s">
        <v>35</v>
      </c>
      <c r="D6" t="s">
        <v>18</v>
      </c>
      <c r="E6" s="2">
        <v>9583.5499999999993</v>
      </c>
      <c r="F6">
        <v>27</v>
      </c>
      <c r="G6" t="s">
        <v>26</v>
      </c>
      <c r="H6" s="2">
        <v>68.989999999999995</v>
      </c>
      <c r="I6" s="2">
        <v>429.29</v>
      </c>
      <c r="J6" t="s">
        <v>20</v>
      </c>
      <c r="K6">
        <v>0.18</v>
      </c>
      <c r="L6" t="s">
        <v>28</v>
      </c>
      <c r="M6" t="s">
        <v>32</v>
      </c>
      <c r="N6" t="s">
        <v>36</v>
      </c>
      <c r="O6" s="2">
        <f>_Salesdata[[#This Row],[Unit_Price]] * _Salesdata[[#This Row],[Quantity_Sold]]</f>
        <v>11590.83</v>
      </c>
      <c r="P6" s="2">
        <f>_Salesdata[[#This Row],[Unit_Cost]] * _Salesdata[[#This Row],[Quantity_Sold]]</f>
        <v>1862.7299999999998</v>
      </c>
      <c r="Q6" s="2">
        <f>_Salesdata[[#This Row],[Gross_Sales]] - _Salesdata[[#This Row],[Total Cost]]</f>
        <v>9728.1</v>
      </c>
      <c r="R6" s="2"/>
    </row>
    <row r="7" spans="1:18" x14ac:dyDescent="0.25">
      <c r="A7">
        <v>1100</v>
      </c>
      <c r="B7" s="1">
        <v>45186</v>
      </c>
      <c r="C7" t="s">
        <v>35</v>
      </c>
      <c r="D7" t="s">
        <v>37</v>
      </c>
      <c r="E7" s="2">
        <v>4795.12</v>
      </c>
      <c r="F7">
        <v>17</v>
      </c>
      <c r="G7" t="s">
        <v>26</v>
      </c>
      <c r="H7" s="2">
        <v>83.64</v>
      </c>
      <c r="I7" s="2">
        <v>528.49</v>
      </c>
      <c r="J7" t="s">
        <v>27</v>
      </c>
      <c r="K7">
        <v>0.13</v>
      </c>
      <c r="L7" t="s">
        <v>28</v>
      </c>
      <c r="M7" t="s">
        <v>22</v>
      </c>
      <c r="N7" t="s">
        <v>38</v>
      </c>
      <c r="O7" s="2">
        <f>_Salesdata[[#This Row],[Unit_Price]] * _Salesdata[[#This Row],[Quantity_Sold]]</f>
        <v>8984.33</v>
      </c>
      <c r="P7" s="2">
        <f>_Salesdata[[#This Row],[Unit_Cost]] * _Salesdata[[#This Row],[Quantity_Sold]]</f>
        <v>1421.88</v>
      </c>
      <c r="Q7" s="2">
        <f>_Salesdata[[#This Row],[Gross_Sales]] - _Salesdata[[#This Row],[Total Cost]]</f>
        <v>7562.45</v>
      </c>
      <c r="R7" s="2"/>
    </row>
    <row r="8" spans="1:18" x14ac:dyDescent="0.25">
      <c r="A8">
        <v>1086</v>
      </c>
      <c r="B8" s="1">
        <v>45288</v>
      </c>
      <c r="C8" t="s">
        <v>17</v>
      </c>
      <c r="D8" t="s">
        <v>25</v>
      </c>
      <c r="E8" s="2">
        <v>1837.37</v>
      </c>
      <c r="F8">
        <v>46</v>
      </c>
      <c r="G8" t="s">
        <v>39</v>
      </c>
      <c r="H8" s="2">
        <v>83.86</v>
      </c>
      <c r="I8" s="2">
        <v>526.14</v>
      </c>
      <c r="J8" t="s">
        <v>20</v>
      </c>
      <c r="K8">
        <v>0.11</v>
      </c>
      <c r="L8" t="s">
        <v>28</v>
      </c>
      <c r="M8" t="s">
        <v>22</v>
      </c>
      <c r="N8" t="s">
        <v>34</v>
      </c>
      <c r="O8" s="2">
        <f>_Salesdata[[#This Row],[Unit_Price]] * _Salesdata[[#This Row],[Quantity_Sold]]</f>
        <v>24202.44</v>
      </c>
      <c r="P8" s="2">
        <f>_Salesdata[[#This Row],[Unit_Cost]] * _Salesdata[[#This Row],[Quantity_Sold]]</f>
        <v>3857.56</v>
      </c>
      <c r="Q8" s="2">
        <f>_Salesdata[[#This Row],[Gross_Sales]] - _Salesdata[[#This Row],[Total Cost]]</f>
        <v>20344.879999999997</v>
      </c>
      <c r="R8" s="2"/>
    </row>
    <row r="9" spans="1:18" x14ac:dyDescent="0.25">
      <c r="A9">
        <v>1086</v>
      </c>
      <c r="B9" s="1">
        <v>45219</v>
      </c>
      <c r="C9" t="s">
        <v>30</v>
      </c>
      <c r="D9" t="s">
        <v>40</v>
      </c>
      <c r="E9" s="2">
        <v>3577.07</v>
      </c>
      <c r="F9">
        <v>32</v>
      </c>
      <c r="G9" t="s">
        <v>39</v>
      </c>
      <c r="H9" s="2">
        <v>84.86</v>
      </c>
      <c r="I9" s="2">
        <v>517.17999999999995</v>
      </c>
      <c r="J9" t="s">
        <v>20</v>
      </c>
      <c r="K9">
        <v>0.2</v>
      </c>
      <c r="L9" t="s">
        <v>28</v>
      </c>
      <c r="M9" t="s">
        <v>32</v>
      </c>
      <c r="N9" t="s">
        <v>41</v>
      </c>
      <c r="O9" s="2">
        <f>_Salesdata[[#This Row],[Unit_Price]] * _Salesdata[[#This Row],[Quantity_Sold]]</f>
        <v>16549.759999999998</v>
      </c>
      <c r="P9" s="2">
        <f>_Salesdata[[#This Row],[Unit_Cost]] * _Salesdata[[#This Row],[Quantity_Sold]]</f>
        <v>2715.52</v>
      </c>
      <c r="Q9" s="2">
        <f>_Salesdata[[#This Row],[Gross_Sales]] - _Salesdata[[#This Row],[Total Cost]]</f>
        <v>13834.239999999998</v>
      </c>
      <c r="R9" s="2"/>
    </row>
    <row r="10" spans="1:18" x14ac:dyDescent="0.25">
      <c r="A10">
        <v>1090</v>
      </c>
      <c r="B10" s="1">
        <v>45080</v>
      </c>
      <c r="C10" t="s">
        <v>30</v>
      </c>
      <c r="D10" t="s">
        <v>40</v>
      </c>
      <c r="E10" s="2">
        <v>6106.64</v>
      </c>
      <c r="F10">
        <v>47</v>
      </c>
      <c r="G10" t="s">
        <v>39</v>
      </c>
      <c r="H10" s="2">
        <v>85.35</v>
      </c>
      <c r="I10" s="2">
        <v>360.539999999999</v>
      </c>
      <c r="J10" t="s">
        <v>27</v>
      </c>
      <c r="K10">
        <v>0.28000000000000003</v>
      </c>
      <c r="L10" t="s">
        <v>21</v>
      </c>
      <c r="M10" t="s">
        <v>22</v>
      </c>
      <c r="N10" t="s">
        <v>41</v>
      </c>
      <c r="O10" s="2">
        <f>_Salesdata[[#This Row],[Unit_Price]] * _Salesdata[[#This Row],[Quantity_Sold]]</f>
        <v>16945.379999999954</v>
      </c>
      <c r="P10" s="2">
        <f>_Salesdata[[#This Row],[Unit_Cost]] * _Salesdata[[#This Row],[Quantity_Sold]]</f>
        <v>4011.45</v>
      </c>
      <c r="Q10" s="2">
        <f>_Salesdata[[#This Row],[Gross_Sales]] - _Salesdata[[#This Row],[Total Cost]]</f>
        <v>12933.929999999953</v>
      </c>
      <c r="R10" s="2"/>
    </row>
    <row r="11" spans="1:18" x14ac:dyDescent="0.25">
      <c r="A11">
        <v>1093</v>
      </c>
      <c r="B11" s="1">
        <v>45086</v>
      </c>
      <c r="C11" t="s">
        <v>17</v>
      </c>
      <c r="D11" t="s">
        <v>40</v>
      </c>
      <c r="E11" s="2">
        <v>4391.38</v>
      </c>
      <c r="F11">
        <v>38</v>
      </c>
      <c r="G11" t="s">
        <v>31</v>
      </c>
      <c r="H11" s="2">
        <v>86.59</v>
      </c>
      <c r="I11" s="2">
        <v>390.89</v>
      </c>
      <c r="J11" t="s">
        <v>20</v>
      </c>
      <c r="K11">
        <v>0.25</v>
      </c>
      <c r="L11" t="s">
        <v>28</v>
      </c>
      <c r="M11" t="s">
        <v>22</v>
      </c>
      <c r="N11" t="s">
        <v>42</v>
      </c>
      <c r="O11" s="2">
        <f>_Salesdata[[#This Row],[Unit_Price]] * _Salesdata[[#This Row],[Quantity_Sold]]</f>
        <v>14853.82</v>
      </c>
      <c r="P11" s="2">
        <f>_Salesdata[[#This Row],[Unit_Cost]] * _Salesdata[[#This Row],[Quantity_Sold]]</f>
        <v>3290.42</v>
      </c>
      <c r="Q11" s="2">
        <f>_Salesdata[[#This Row],[Gross_Sales]] - _Salesdata[[#This Row],[Total Cost]]</f>
        <v>11563.4</v>
      </c>
      <c r="R11" s="2"/>
    </row>
    <row r="12" spans="1:18" x14ac:dyDescent="0.25">
      <c r="A12">
        <v>1016</v>
      </c>
      <c r="B12" s="1">
        <v>45239</v>
      </c>
      <c r="C12" t="s">
        <v>35</v>
      </c>
      <c r="D12" t="s">
        <v>40</v>
      </c>
      <c r="E12" s="2">
        <v>3402.92</v>
      </c>
      <c r="F12">
        <v>24</v>
      </c>
      <c r="G12" t="s">
        <v>39</v>
      </c>
      <c r="H12" s="2">
        <v>88.44</v>
      </c>
      <c r="I12" s="2">
        <v>338.94</v>
      </c>
      <c r="J12" t="s">
        <v>27</v>
      </c>
      <c r="K12">
        <v>0.28999999999999998</v>
      </c>
      <c r="L12" t="s">
        <v>21</v>
      </c>
      <c r="M12" t="s">
        <v>22</v>
      </c>
      <c r="N12" t="s">
        <v>43</v>
      </c>
      <c r="O12" s="2">
        <f>_Salesdata[[#This Row],[Unit_Price]] * _Salesdata[[#This Row],[Quantity_Sold]]</f>
        <v>8134.5599999999995</v>
      </c>
      <c r="P12" s="2">
        <f>_Salesdata[[#This Row],[Unit_Cost]] * _Salesdata[[#This Row],[Quantity_Sold]]</f>
        <v>2122.56</v>
      </c>
      <c r="Q12" s="2">
        <f>_Salesdata[[#This Row],[Gross_Sales]] - _Salesdata[[#This Row],[Total Cost]]</f>
        <v>6012</v>
      </c>
      <c r="R12" s="2"/>
    </row>
    <row r="13" spans="1:18" x14ac:dyDescent="0.25">
      <c r="A13">
        <v>1099</v>
      </c>
      <c r="B13" s="1">
        <v>45219</v>
      </c>
      <c r="C13" t="s">
        <v>30</v>
      </c>
      <c r="D13" t="s">
        <v>40</v>
      </c>
      <c r="E13" s="2">
        <v>7859.22</v>
      </c>
      <c r="F13">
        <v>23</v>
      </c>
      <c r="G13" t="s">
        <v>19</v>
      </c>
      <c r="H13" s="2">
        <v>93.45</v>
      </c>
      <c r="I13" s="2">
        <v>181.62</v>
      </c>
      <c r="J13" t="s">
        <v>20</v>
      </c>
      <c r="K13">
        <v>0.3</v>
      </c>
      <c r="L13" t="s">
        <v>44</v>
      </c>
      <c r="M13" t="s">
        <v>32</v>
      </c>
      <c r="N13" t="s">
        <v>41</v>
      </c>
      <c r="O13" s="2">
        <f>_Salesdata[[#This Row],[Unit_Price]] * _Salesdata[[#This Row],[Quantity_Sold]]</f>
        <v>4177.26</v>
      </c>
      <c r="P13" s="2">
        <f>_Salesdata[[#This Row],[Unit_Cost]] * _Salesdata[[#This Row],[Quantity_Sold]]</f>
        <v>2149.35</v>
      </c>
      <c r="Q13" s="2">
        <f>_Salesdata[[#This Row],[Gross_Sales]] - _Salesdata[[#This Row],[Total Cost]]</f>
        <v>2027.9100000000003</v>
      </c>
      <c r="R13" s="2"/>
    </row>
    <row r="14" spans="1:18" x14ac:dyDescent="0.25">
      <c r="A14">
        <v>1019</v>
      </c>
      <c r="B14" s="1">
        <v>45170</v>
      </c>
      <c r="C14" t="s">
        <v>30</v>
      </c>
      <c r="D14" t="s">
        <v>25</v>
      </c>
      <c r="E14" s="2">
        <v>2550.84</v>
      </c>
      <c r="F14">
        <v>16</v>
      </c>
      <c r="G14" t="s">
        <v>19</v>
      </c>
      <c r="H14" s="2">
        <v>97.24</v>
      </c>
      <c r="I14" s="2">
        <v>487.03</v>
      </c>
      <c r="J14" t="s">
        <v>27</v>
      </c>
      <c r="K14">
        <v>0.22</v>
      </c>
      <c r="L14" t="s">
        <v>44</v>
      </c>
      <c r="M14" t="s">
        <v>32</v>
      </c>
      <c r="N14" t="s">
        <v>45</v>
      </c>
      <c r="O14" s="2">
        <f>_Salesdata[[#This Row],[Unit_Price]] * _Salesdata[[#This Row],[Quantity_Sold]]</f>
        <v>7792.48</v>
      </c>
      <c r="P14" s="2">
        <f>_Salesdata[[#This Row],[Unit_Cost]] * _Salesdata[[#This Row],[Quantity_Sold]]</f>
        <v>1555.84</v>
      </c>
      <c r="Q14" s="2">
        <f>_Salesdata[[#This Row],[Gross_Sales]] - _Salesdata[[#This Row],[Total Cost]]</f>
        <v>6236.6399999999994</v>
      </c>
      <c r="R14" s="2"/>
    </row>
    <row r="15" spans="1:18" x14ac:dyDescent="0.25">
      <c r="A15">
        <v>1017</v>
      </c>
      <c r="B15" s="1">
        <v>44977</v>
      </c>
      <c r="C15" t="s">
        <v>35</v>
      </c>
      <c r="D15" t="s">
        <v>37</v>
      </c>
      <c r="E15" s="2">
        <v>8189.57</v>
      </c>
      <c r="F15">
        <v>16</v>
      </c>
      <c r="G15" t="s">
        <v>39</v>
      </c>
      <c r="H15" s="2">
        <v>102.23</v>
      </c>
      <c r="I15" s="2">
        <v>167.12</v>
      </c>
      <c r="J15" t="s">
        <v>27</v>
      </c>
      <c r="K15">
        <v>0.04</v>
      </c>
      <c r="L15" t="s">
        <v>28</v>
      </c>
      <c r="M15" t="s">
        <v>32</v>
      </c>
      <c r="N15" t="s">
        <v>38</v>
      </c>
      <c r="O15" s="2">
        <f>_Salesdata[[#This Row],[Unit_Price]] * _Salesdata[[#This Row],[Quantity_Sold]]</f>
        <v>2673.92</v>
      </c>
      <c r="P15" s="2">
        <f>_Salesdata[[#This Row],[Unit_Cost]] * _Salesdata[[#This Row],[Quantity_Sold]]</f>
        <v>1635.68</v>
      </c>
      <c r="Q15" s="2">
        <f>_Salesdata[[#This Row],[Gross_Sales]] - _Salesdata[[#This Row],[Total Cost]]</f>
        <v>1038.24</v>
      </c>
      <c r="R15" s="2"/>
    </row>
    <row r="16" spans="1:18" x14ac:dyDescent="0.25">
      <c r="A16">
        <v>1033</v>
      </c>
      <c r="B16" s="1">
        <v>45083</v>
      </c>
      <c r="C16" t="s">
        <v>24</v>
      </c>
      <c r="D16" t="s">
        <v>18</v>
      </c>
      <c r="E16" s="2">
        <v>4602.17</v>
      </c>
      <c r="F16">
        <v>32</v>
      </c>
      <c r="G16" t="s">
        <v>31</v>
      </c>
      <c r="H16" s="2">
        <v>108.99</v>
      </c>
      <c r="I16" s="2">
        <v>351.6</v>
      </c>
      <c r="J16" t="s">
        <v>20</v>
      </c>
      <c r="K16">
        <v>0.27</v>
      </c>
      <c r="L16" t="s">
        <v>28</v>
      </c>
      <c r="M16" t="s">
        <v>32</v>
      </c>
      <c r="N16" t="s">
        <v>46</v>
      </c>
      <c r="O16" s="2">
        <f>_Salesdata[[#This Row],[Unit_Price]] * _Salesdata[[#This Row],[Quantity_Sold]]</f>
        <v>11251.2</v>
      </c>
      <c r="P16" s="2">
        <f>_Salesdata[[#This Row],[Unit_Cost]] * _Salesdata[[#This Row],[Quantity_Sold]]</f>
        <v>3487.68</v>
      </c>
      <c r="Q16" s="2">
        <f>_Salesdata[[#This Row],[Gross_Sales]] - _Salesdata[[#This Row],[Total Cost]]</f>
        <v>7763.52</v>
      </c>
      <c r="R16" s="2"/>
    </row>
    <row r="17" spans="1:18" x14ac:dyDescent="0.25">
      <c r="A17">
        <v>1050</v>
      </c>
      <c r="B17" s="1">
        <v>45063</v>
      </c>
      <c r="C17" t="s">
        <v>17</v>
      </c>
      <c r="D17" t="s">
        <v>37</v>
      </c>
      <c r="E17" s="2">
        <v>2254.91</v>
      </c>
      <c r="F17">
        <v>45</v>
      </c>
      <c r="G17" t="s">
        <v>39</v>
      </c>
      <c r="H17" s="2">
        <v>112.35</v>
      </c>
      <c r="I17" s="2">
        <v>586.17999999999995</v>
      </c>
      <c r="J17" t="s">
        <v>20</v>
      </c>
      <c r="K17">
        <v>0.28000000000000003</v>
      </c>
      <c r="L17" t="s">
        <v>28</v>
      </c>
      <c r="M17" t="s">
        <v>32</v>
      </c>
      <c r="N17" t="s">
        <v>47</v>
      </c>
      <c r="O17" s="2">
        <f>_Salesdata[[#This Row],[Unit_Price]] * _Salesdata[[#This Row],[Quantity_Sold]]</f>
        <v>26378.1</v>
      </c>
      <c r="P17" s="2">
        <f>_Salesdata[[#This Row],[Unit_Cost]] * _Salesdata[[#This Row],[Quantity_Sold]]</f>
        <v>5055.75</v>
      </c>
      <c r="Q17" s="2">
        <f>_Salesdata[[#This Row],[Gross_Sales]] - _Salesdata[[#This Row],[Total Cost]]</f>
        <v>21322.35</v>
      </c>
      <c r="R17" s="2"/>
    </row>
    <row r="18" spans="1:18" x14ac:dyDescent="0.25">
      <c r="A18">
        <v>1002</v>
      </c>
      <c r="B18" s="1">
        <v>45096</v>
      </c>
      <c r="C18" t="s">
        <v>48</v>
      </c>
      <c r="D18" t="s">
        <v>25</v>
      </c>
      <c r="E18" s="2">
        <v>1263.76</v>
      </c>
      <c r="F18">
        <v>18</v>
      </c>
      <c r="G18" t="s">
        <v>31</v>
      </c>
      <c r="H18" s="2">
        <v>117.63</v>
      </c>
      <c r="I18" s="2">
        <v>576.44000000000005</v>
      </c>
      <c r="J18" t="s">
        <v>27</v>
      </c>
      <c r="K18">
        <v>0.18</v>
      </c>
      <c r="L18" t="s">
        <v>28</v>
      </c>
      <c r="M18" t="s">
        <v>32</v>
      </c>
      <c r="N18" t="s">
        <v>49</v>
      </c>
      <c r="O18" s="2">
        <f>_Salesdata[[#This Row],[Unit_Price]] * _Salesdata[[#This Row],[Quantity_Sold]]</f>
        <v>10375.920000000002</v>
      </c>
      <c r="P18" s="2">
        <f>_Salesdata[[#This Row],[Unit_Cost]] * _Salesdata[[#This Row],[Quantity_Sold]]</f>
        <v>2117.34</v>
      </c>
      <c r="Q18" s="2">
        <f>_Salesdata[[#This Row],[Gross_Sales]] - _Salesdata[[#This Row],[Total Cost]]</f>
        <v>8258.5800000000017</v>
      </c>
      <c r="R18" s="2"/>
    </row>
    <row r="19" spans="1:18" x14ac:dyDescent="0.25">
      <c r="A19">
        <v>1053</v>
      </c>
      <c r="B19" s="1">
        <v>45215</v>
      </c>
      <c r="C19" t="s">
        <v>17</v>
      </c>
      <c r="D19" t="s">
        <v>37</v>
      </c>
      <c r="E19" s="2">
        <v>2235.83</v>
      </c>
      <c r="F19">
        <v>48</v>
      </c>
      <c r="G19" t="s">
        <v>39</v>
      </c>
      <c r="H19" s="2">
        <v>121.19</v>
      </c>
      <c r="I19" s="2">
        <v>487.65</v>
      </c>
      <c r="J19" t="s">
        <v>27</v>
      </c>
      <c r="K19">
        <v>0.18</v>
      </c>
      <c r="L19" t="s">
        <v>21</v>
      </c>
      <c r="M19" t="s">
        <v>32</v>
      </c>
      <c r="N19" t="s">
        <v>47</v>
      </c>
      <c r="O19" s="2">
        <f>_Salesdata[[#This Row],[Unit_Price]] * _Salesdata[[#This Row],[Quantity_Sold]]</f>
        <v>23407.199999999997</v>
      </c>
      <c r="P19" s="2">
        <f>_Salesdata[[#This Row],[Unit_Cost]] * _Salesdata[[#This Row],[Quantity_Sold]]</f>
        <v>5817.12</v>
      </c>
      <c r="Q19" s="2">
        <f>_Salesdata[[#This Row],[Gross_Sales]] - _Salesdata[[#This Row],[Total Cost]]</f>
        <v>17590.079999999998</v>
      </c>
      <c r="R19" s="2"/>
    </row>
    <row r="20" spans="1:18" x14ac:dyDescent="0.25">
      <c r="A20">
        <v>1005</v>
      </c>
      <c r="B20" s="1">
        <v>45193</v>
      </c>
      <c r="C20" t="s">
        <v>48</v>
      </c>
      <c r="D20" t="s">
        <v>40</v>
      </c>
      <c r="E20" s="2">
        <v>4453.43</v>
      </c>
      <c r="F20">
        <v>6</v>
      </c>
      <c r="G20" t="s">
        <v>31</v>
      </c>
      <c r="H20" s="2">
        <v>122.5</v>
      </c>
      <c r="I20" s="2">
        <v>385.83</v>
      </c>
      <c r="J20" t="s">
        <v>20</v>
      </c>
      <c r="K20">
        <v>0.1</v>
      </c>
      <c r="L20" t="s">
        <v>21</v>
      </c>
      <c r="M20" t="s">
        <v>32</v>
      </c>
      <c r="N20" t="s">
        <v>50</v>
      </c>
      <c r="O20" s="2">
        <f>_Salesdata[[#This Row],[Unit_Price]] * _Salesdata[[#This Row],[Quantity_Sold]]</f>
        <v>2314.98</v>
      </c>
      <c r="P20" s="2">
        <f>_Salesdata[[#This Row],[Unit_Cost]] * _Salesdata[[#This Row],[Quantity_Sold]]</f>
        <v>735</v>
      </c>
      <c r="Q20" s="2">
        <f>_Salesdata[[#This Row],[Gross_Sales]] - _Salesdata[[#This Row],[Total Cost]]</f>
        <v>1579.98</v>
      </c>
      <c r="R20" s="2"/>
    </row>
    <row r="21" spans="1:18" x14ac:dyDescent="0.25">
      <c r="A21">
        <v>1014</v>
      </c>
      <c r="B21" s="1">
        <v>45239</v>
      </c>
      <c r="C21" t="s">
        <v>30</v>
      </c>
      <c r="D21" t="s">
        <v>37</v>
      </c>
      <c r="E21" s="2">
        <v>6016.92</v>
      </c>
      <c r="F21">
        <v>9</v>
      </c>
      <c r="G21" t="s">
        <v>26</v>
      </c>
      <c r="H21" s="2">
        <v>132.47</v>
      </c>
      <c r="I21" s="2">
        <v>316.39</v>
      </c>
      <c r="J21" t="s">
        <v>27</v>
      </c>
      <c r="K21">
        <v>0.14000000000000001</v>
      </c>
      <c r="L21" t="s">
        <v>28</v>
      </c>
      <c r="M21" t="s">
        <v>22</v>
      </c>
      <c r="N21" t="s">
        <v>51</v>
      </c>
      <c r="O21" s="2">
        <f>_Salesdata[[#This Row],[Unit_Price]] * _Salesdata[[#This Row],[Quantity_Sold]]</f>
        <v>2847.5099999999998</v>
      </c>
      <c r="P21" s="2">
        <f>_Salesdata[[#This Row],[Unit_Cost]] * _Salesdata[[#This Row],[Quantity_Sold]]</f>
        <v>1192.23</v>
      </c>
      <c r="Q21" s="2">
        <f>_Salesdata[[#This Row],[Gross_Sales]] - _Salesdata[[#This Row],[Total Cost]]</f>
        <v>1655.2799999999997</v>
      </c>
      <c r="R21" s="2"/>
    </row>
    <row r="22" spans="1:18" x14ac:dyDescent="0.25">
      <c r="A22">
        <v>1034</v>
      </c>
      <c r="B22" s="1">
        <v>44933</v>
      </c>
      <c r="C22" t="s">
        <v>30</v>
      </c>
      <c r="D22" t="s">
        <v>25</v>
      </c>
      <c r="E22" s="2">
        <v>3677.9</v>
      </c>
      <c r="F22">
        <v>28</v>
      </c>
      <c r="G22" t="s">
        <v>39</v>
      </c>
      <c r="H22" s="2">
        <v>137.47</v>
      </c>
      <c r="I22" s="2">
        <v>234.63</v>
      </c>
      <c r="J22" t="s">
        <v>27</v>
      </c>
      <c r="K22">
        <v>0.27</v>
      </c>
      <c r="L22" t="s">
        <v>44</v>
      </c>
      <c r="M22" t="s">
        <v>32</v>
      </c>
      <c r="N22" t="s">
        <v>45</v>
      </c>
      <c r="O22" s="2">
        <f>_Salesdata[[#This Row],[Unit_Price]] * _Salesdata[[#This Row],[Quantity_Sold]]</f>
        <v>6569.6399999999994</v>
      </c>
      <c r="P22" s="2">
        <f>_Salesdata[[#This Row],[Unit_Cost]] * _Salesdata[[#This Row],[Quantity_Sold]]</f>
        <v>3849.16</v>
      </c>
      <c r="Q22" s="2">
        <f>_Salesdata[[#This Row],[Gross_Sales]] - _Salesdata[[#This Row],[Total Cost]]</f>
        <v>2720.4799999999996</v>
      </c>
      <c r="R22" s="2"/>
    </row>
    <row r="23" spans="1:18" x14ac:dyDescent="0.25">
      <c r="A23">
        <v>1051</v>
      </c>
      <c r="B23" s="1">
        <v>45246</v>
      </c>
      <c r="C23" t="s">
        <v>17</v>
      </c>
      <c r="D23" t="s">
        <v>25</v>
      </c>
      <c r="E23" s="2">
        <v>803.25</v>
      </c>
      <c r="F23">
        <v>31</v>
      </c>
      <c r="G23" t="s">
        <v>39</v>
      </c>
      <c r="H23" s="2">
        <v>144.88</v>
      </c>
      <c r="I23" s="2">
        <v>175.29</v>
      </c>
      <c r="J23" t="s">
        <v>27</v>
      </c>
      <c r="K23">
        <v>7.0000000000000007E-2</v>
      </c>
      <c r="L23" t="s">
        <v>44</v>
      </c>
      <c r="M23" t="s">
        <v>22</v>
      </c>
      <c r="N23" t="s">
        <v>34</v>
      </c>
      <c r="O23" s="2">
        <f>_Salesdata[[#This Row],[Unit_Price]] * _Salesdata[[#This Row],[Quantity_Sold]]</f>
        <v>5433.99</v>
      </c>
      <c r="P23" s="2">
        <f>_Salesdata[[#This Row],[Unit_Cost]] * _Salesdata[[#This Row],[Quantity_Sold]]</f>
        <v>4491.28</v>
      </c>
      <c r="Q23" s="2">
        <f>_Salesdata[[#This Row],[Gross_Sales]] - _Salesdata[[#This Row],[Total Cost]]</f>
        <v>942.71</v>
      </c>
      <c r="R23" s="2"/>
    </row>
    <row r="24" spans="1:18" x14ac:dyDescent="0.25">
      <c r="A24">
        <v>1061</v>
      </c>
      <c r="B24" s="1">
        <v>45034</v>
      </c>
      <c r="C24" t="s">
        <v>48</v>
      </c>
      <c r="D24" t="s">
        <v>37</v>
      </c>
      <c r="E24" s="2">
        <v>3774.02</v>
      </c>
      <c r="F24">
        <v>47</v>
      </c>
      <c r="G24" t="s">
        <v>26</v>
      </c>
      <c r="H24" s="2">
        <v>146.27000000000001</v>
      </c>
      <c r="I24" s="2">
        <v>498.46</v>
      </c>
      <c r="J24" t="s">
        <v>27</v>
      </c>
      <c r="K24">
        <v>0.06</v>
      </c>
      <c r="L24" t="s">
        <v>21</v>
      </c>
      <c r="M24" t="s">
        <v>32</v>
      </c>
      <c r="N24" t="s">
        <v>52</v>
      </c>
      <c r="O24" s="2">
        <f>_Salesdata[[#This Row],[Unit_Price]] * _Salesdata[[#This Row],[Quantity_Sold]]</f>
        <v>23427.62</v>
      </c>
      <c r="P24" s="2">
        <f>_Salesdata[[#This Row],[Unit_Cost]] * _Salesdata[[#This Row],[Quantity_Sold]]</f>
        <v>6874.6900000000005</v>
      </c>
      <c r="Q24" s="2">
        <f>_Salesdata[[#This Row],[Gross_Sales]] - _Salesdata[[#This Row],[Total Cost]]</f>
        <v>16552.93</v>
      </c>
      <c r="R24" s="2"/>
    </row>
    <row r="25" spans="1:18" x14ac:dyDescent="0.25">
      <c r="A25">
        <v>1027</v>
      </c>
      <c r="B25" s="1">
        <v>44941</v>
      </c>
      <c r="C25" t="s">
        <v>17</v>
      </c>
      <c r="D25" t="s">
        <v>25</v>
      </c>
      <c r="E25" s="2">
        <v>6261.2</v>
      </c>
      <c r="F25">
        <v>26</v>
      </c>
      <c r="G25" t="s">
        <v>31</v>
      </c>
      <c r="H25" s="2">
        <v>149.11000000000001</v>
      </c>
      <c r="I25" s="2">
        <v>477.67</v>
      </c>
      <c r="J25" t="s">
        <v>20</v>
      </c>
      <c r="K25">
        <v>0.14000000000000001</v>
      </c>
      <c r="L25" t="s">
        <v>21</v>
      </c>
      <c r="M25" t="s">
        <v>32</v>
      </c>
      <c r="N25" t="s">
        <v>34</v>
      </c>
      <c r="O25" s="2">
        <f>_Salesdata[[#This Row],[Unit_Price]] * _Salesdata[[#This Row],[Quantity_Sold]]</f>
        <v>12419.42</v>
      </c>
      <c r="P25" s="2">
        <f>_Salesdata[[#This Row],[Unit_Cost]] * _Salesdata[[#This Row],[Quantity_Sold]]</f>
        <v>3876.8600000000006</v>
      </c>
      <c r="Q25" s="2">
        <f>_Salesdata[[#This Row],[Gross_Sales]] - _Salesdata[[#This Row],[Total Cost]]</f>
        <v>8542.56</v>
      </c>
      <c r="R25" s="2"/>
    </row>
    <row r="26" spans="1:18" x14ac:dyDescent="0.25">
      <c r="A26">
        <v>1052</v>
      </c>
      <c r="B26" s="1">
        <v>44960</v>
      </c>
      <c r="C26" t="s">
        <v>17</v>
      </c>
      <c r="D26" t="s">
        <v>37</v>
      </c>
      <c r="E26" s="2">
        <v>5053.97</v>
      </c>
      <c r="F26">
        <v>18</v>
      </c>
      <c r="G26" t="s">
        <v>39</v>
      </c>
      <c r="H26" s="2">
        <v>152.75</v>
      </c>
      <c r="I26" s="2">
        <v>267.22000000000003</v>
      </c>
      <c r="J26" t="s">
        <v>20</v>
      </c>
      <c r="K26">
        <v>0.09</v>
      </c>
      <c r="L26" t="s">
        <v>21</v>
      </c>
      <c r="M26" t="s">
        <v>22</v>
      </c>
      <c r="N26" t="s">
        <v>47</v>
      </c>
      <c r="O26" s="2">
        <f>_Salesdata[[#This Row],[Unit_Price]] * _Salesdata[[#This Row],[Quantity_Sold]]</f>
        <v>4809.9600000000009</v>
      </c>
      <c r="P26" s="2">
        <f>_Salesdata[[#This Row],[Unit_Cost]] * _Salesdata[[#This Row],[Quantity_Sold]]</f>
        <v>2749.5</v>
      </c>
      <c r="Q26" s="2">
        <f>_Salesdata[[#This Row],[Gross_Sales]] - _Salesdata[[#This Row],[Total Cost]]</f>
        <v>2060.4600000000009</v>
      </c>
      <c r="R26" s="2"/>
    </row>
    <row r="27" spans="1:18" x14ac:dyDescent="0.25">
      <c r="A27">
        <v>1073</v>
      </c>
      <c r="B27" s="1">
        <v>45278</v>
      </c>
      <c r="C27" t="s">
        <v>48</v>
      </c>
      <c r="D27" t="s">
        <v>25</v>
      </c>
      <c r="E27" s="2">
        <v>3196.5</v>
      </c>
      <c r="F27">
        <v>40</v>
      </c>
      <c r="G27" t="s">
        <v>31</v>
      </c>
      <c r="H27" s="2">
        <v>157.15</v>
      </c>
      <c r="I27" s="2">
        <v>436.53</v>
      </c>
      <c r="J27" t="s">
        <v>27</v>
      </c>
      <c r="K27">
        <v>0.04</v>
      </c>
      <c r="L27" t="s">
        <v>21</v>
      </c>
      <c r="M27" t="s">
        <v>32</v>
      </c>
      <c r="N27" t="s">
        <v>49</v>
      </c>
      <c r="O27" s="2">
        <f>_Salesdata[[#This Row],[Unit_Price]] * _Salesdata[[#This Row],[Quantity_Sold]]</f>
        <v>17461.199999999997</v>
      </c>
      <c r="P27" s="2">
        <f>_Salesdata[[#This Row],[Unit_Cost]] * _Salesdata[[#This Row],[Quantity_Sold]]</f>
        <v>6286</v>
      </c>
      <c r="Q27" s="2">
        <f>_Salesdata[[#This Row],[Gross_Sales]] - _Salesdata[[#This Row],[Total Cost]]</f>
        <v>11175.199999999997</v>
      </c>
      <c r="R27" s="2"/>
    </row>
    <row r="28" spans="1:18" x14ac:dyDescent="0.25">
      <c r="A28">
        <v>1062</v>
      </c>
      <c r="B28" s="1">
        <v>45062</v>
      </c>
      <c r="C28" t="s">
        <v>35</v>
      </c>
      <c r="D28" t="s">
        <v>37</v>
      </c>
      <c r="E28" s="2">
        <v>8495.6200000000008</v>
      </c>
      <c r="F28">
        <v>46</v>
      </c>
      <c r="G28" t="s">
        <v>39</v>
      </c>
      <c r="H28" s="2">
        <v>159.32</v>
      </c>
      <c r="I28" s="2">
        <v>303.36</v>
      </c>
      <c r="J28" t="s">
        <v>27</v>
      </c>
      <c r="K28">
        <v>0.03</v>
      </c>
      <c r="L28" t="s">
        <v>21</v>
      </c>
      <c r="M28" t="s">
        <v>32</v>
      </c>
      <c r="N28" t="s">
        <v>38</v>
      </c>
      <c r="O28" s="2">
        <f>_Salesdata[[#This Row],[Unit_Price]] * _Salesdata[[#This Row],[Quantity_Sold]]</f>
        <v>13954.560000000001</v>
      </c>
      <c r="P28" s="2">
        <f>_Salesdata[[#This Row],[Unit_Cost]] * _Salesdata[[#This Row],[Quantity_Sold]]</f>
        <v>7328.7199999999993</v>
      </c>
      <c r="Q28" s="2">
        <f>_Salesdata[[#This Row],[Gross_Sales]] - _Salesdata[[#This Row],[Total Cost]]</f>
        <v>6625.840000000002</v>
      </c>
      <c r="R28" s="2"/>
    </row>
    <row r="29" spans="1:18" x14ac:dyDescent="0.25">
      <c r="A29">
        <v>1084</v>
      </c>
      <c r="B29" s="1">
        <v>45199</v>
      </c>
      <c r="C29" t="s">
        <v>24</v>
      </c>
      <c r="D29" t="s">
        <v>18</v>
      </c>
      <c r="E29" s="2">
        <v>9532.8700000000008</v>
      </c>
      <c r="F29">
        <v>30</v>
      </c>
      <c r="G29" t="s">
        <v>31</v>
      </c>
      <c r="H29" s="2">
        <v>169</v>
      </c>
      <c r="I29" s="2">
        <v>381.91999999999899</v>
      </c>
      <c r="J29" t="s">
        <v>20</v>
      </c>
      <c r="K29">
        <v>0.26</v>
      </c>
      <c r="L29" t="s">
        <v>21</v>
      </c>
      <c r="M29" t="s">
        <v>32</v>
      </c>
      <c r="N29" t="s">
        <v>46</v>
      </c>
      <c r="O29" s="2">
        <f>_Salesdata[[#This Row],[Unit_Price]] * _Salesdata[[#This Row],[Quantity_Sold]]</f>
        <v>11457.599999999969</v>
      </c>
      <c r="P29" s="2">
        <f>_Salesdata[[#This Row],[Unit_Cost]] * _Salesdata[[#This Row],[Quantity_Sold]]</f>
        <v>5070</v>
      </c>
      <c r="Q29" s="2">
        <f>_Salesdata[[#This Row],[Gross_Sales]] - _Salesdata[[#This Row],[Total Cost]]</f>
        <v>6387.5999999999694</v>
      </c>
      <c r="R29" s="2"/>
    </row>
    <row r="30" spans="1:18" x14ac:dyDescent="0.25">
      <c r="A30">
        <v>1017</v>
      </c>
      <c r="B30" s="1">
        <v>45128</v>
      </c>
      <c r="C30" t="s">
        <v>30</v>
      </c>
      <c r="D30" t="s">
        <v>18</v>
      </c>
      <c r="E30" s="2">
        <v>3388.69</v>
      </c>
      <c r="F30">
        <v>1</v>
      </c>
      <c r="G30" t="s">
        <v>31</v>
      </c>
      <c r="H30" s="2">
        <v>172.59</v>
      </c>
      <c r="I30" s="2">
        <v>404.69</v>
      </c>
      <c r="J30" t="s">
        <v>20</v>
      </c>
      <c r="K30">
        <v>0.28999999999999998</v>
      </c>
      <c r="L30" t="s">
        <v>44</v>
      </c>
      <c r="M30" t="s">
        <v>22</v>
      </c>
      <c r="N30" t="s">
        <v>33</v>
      </c>
      <c r="O30" s="2">
        <f>_Salesdata[[#This Row],[Unit_Price]] * _Salesdata[[#This Row],[Quantity_Sold]]</f>
        <v>404.69</v>
      </c>
      <c r="P30" s="2">
        <f>_Salesdata[[#This Row],[Unit_Cost]] * _Salesdata[[#This Row],[Quantity_Sold]]</f>
        <v>172.59</v>
      </c>
      <c r="Q30" s="2">
        <f>_Salesdata[[#This Row],[Gross_Sales]] - _Salesdata[[#This Row],[Total Cost]]</f>
        <v>232.1</v>
      </c>
      <c r="R30" s="2"/>
    </row>
    <row r="31" spans="1:18" x14ac:dyDescent="0.25">
      <c r="A31">
        <v>1074</v>
      </c>
      <c r="B31" s="1">
        <v>45183</v>
      </c>
      <c r="C31" t="s">
        <v>30</v>
      </c>
      <c r="D31" t="s">
        <v>40</v>
      </c>
      <c r="E31" s="2">
        <v>8389.93</v>
      </c>
      <c r="F31">
        <v>29</v>
      </c>
      <c r="G31" t="s">
        <v>39</v>
      </c>
      <c r="H31" s="2">
        <v>173.67</v>
      </c>
      <c r="I31" s="2">
        <v>565.62</v>
      </c>
      <c r="J31" t="s">
        <v>20</v>
      </c>
      <c r="K31">
        <v>0.3</v>
      </c>
      <c r="L31" t="s">
        <v>21</v>
      </c>
      <c r="M31" t="s">
        <v>22</v>
      </c>
      <c r="N31" t="s">
        <v>41</v>
      </c>
      <c r="O31" s="2">
        <f>_Salesdata[[#This Row],[Unit_Price]] * _Salesdata[[#This Row],[Quantity_Sold]]</f>
        <v>16402.98</v>
      </c>
      <c r="P31" s="2">
        <f>_Salesdata[[#This Row],[Unit_Cost]] * _Salesdata[[#This Row],[Quantity_Sold]]</f>
        <v>5036.4299999999994</v>
      </c>
      <c r="Q31" s="2">
        <f>_Salesdata[[#This Row],[Gross_Sales]] - _Salesdata[[#This Row],[Total Cost]]</f>
        <v>11366.55</v>
      </c>
      <c r="R31" s="2"/>
    </row>
    <row r="32" spans="1:18" x14ac:dyDescent="0.25">
      <c r="A32">
        <v>1004</v>
      </c>
      <c r="B32" s="1">
        <v>45248</v>
      </c>
      <c r="C32" t="s">
        <v>24</v>
      </c>
      <c r="D32" t="s">
        <v>18</v>
      </c>
      <c r="E32" s="2">
        <v>7211.48</v>
      </c>
      <c r="F32">
        <v>1</v>
      </c>
      <c r="G32" t="s">
        <v>31</v>
      </c>
      <c r="H32" s="2">
        <v>182.99</v>
      </c>
      <c r="I32" s="2">
        <v>211.18</v>
      </c>
      <c r="J32" t="s">
        <v>20</v>
      </c>
      <c r="K32">
        <v>0.27</v>
      </c>
      <c r="L32" t="s">
        <v>44</v>
      </c>
      <c r="M32" t="s">
        <v>32</v>
      </c>
      <c r="N32" t="s">
        <v>46</v>
      </c>
      <c r="O32" s="2">
        <f>_Salesdata[[#This Row],[Unit_Price]] * _Salesdata[[#This Row],[Quantity_Sold]]</f>
        <v>211.18</v>
      </c>
      <c r="P32" s="2">
        <f>_Salesdata[[#This Row],[Unit_Cost]] * _Salesdata[[#This Row],[Quantity_Sold]]</f>
        <v>182.99</v>
      </c>
      <c r="Q32" s="2">
        <f>_Salesdata[[#This Row],[Gross_Sales]] - _Salesdata[[#This Row],[Total Cost]]</f>
        <v>28.189999999999998</v>
      </c>
      <c r="R32" s="2"/>
    </row>
    <row r="33" spans="1:18" x14ac:dyDescent="0.25">
      <c r="A33">
        <v>1020</v>
      </c>
      <c r="B33" s="1">
        <v>44966</v>
      </c>
      <c r="C33" t="s">
        <v>35</v>
      </c>
      <c r="D33" t="s">
        <v>18</v>
      </c>
      <c r="E33" s="2">
        <v>2102.3200000000002</v>
      </c>
      <c r="F33">
        <v>29</v>
      </c>
      <c r="G33" t="s">
        <v>26</v>
      </c>
      <c r="H33" s="2">
        <v>184.05</v>
      </c>
      <c r="I33" s="2">
        <v>675.91</v>
      </c>
      <c r="J33" t="s">
        <v>20</v>
      </c>
      <c r="K33">
        <v>0.1</v>
      </c>
      <c r="L33" t="s">
        <v>21</v>
      </c>
      <c r="M33" t="s">
        <v>32</v>
      </c>
      <c r="N33" t="s">
        <v>36</v>
      </c>
      <c r="O33" s="2">
        <f>_Salesdata[[#This Row],[Unit_Price]] * _Salesdata[[#This Row],[Quantity_Sold]]</f>
        <v>19601.39</v>
      </c>
      <c r="P33" s="2">
        <f>_Salesdata[[#This Row],[Unit_Cost]] * _Salesdata[[#This Row],[Quantity_Sold]]</f>
        <v>5337.4500000000007</v>
      </c>
      <c r="Q33" s="2">
        <f>_Salesdata[[#This Row],[Gross_Sales]] - _Salesdata[[#This Row],[Total Cost]]</f>
        <v>14263.939999999999</v>
      </c>
      <c r="R33" s="2"/>
    </row>
    <row r="34" spans="1:18" x14ac:dyDescent="0.25">
      <c r="A34">
        <v>1087</v>
      </c>
      <c r="B34" s="1">
        <v>45177</v>
      </c>
      <c r="C34" t="s">
        <v>35</v>
      </c>
      <c r="D34" t="s">
        <v>37</v>
      </c>
      <c r="E34" s="2">
        <v>119.72</v>
      </c>
      <c r="F34">
        <v>20</v>
      </c>
      <c r="G34" t="s">
        <v>19</v>
      </c>
      <c r="H34" s="2">
        <v>193.27</v>
      </c>
      <c r="I34" s="2">
        <v>297.69</v>
      </c>
      <c r="J34" t="s">
        <v>27</v>
      </c>
      <c r="K34">
        <v>0.22</v>
      </c>
      <c r="L34" t="s">
        <v>21</v>
      </c>
      <c r="M34" t="s">
        <v>22</v>
      </c>
      <c r="N34" t="s">
        <v>38</v>
      </c>
      <c r="O34" s="2">
        <f>_Salesdata[[#This Row],[Unit_Price]] * _Salesdata[[#This Row],[Quantity_Sold]]</f>
        <v>5953.8</v>
      </c>
      <c r="P34" s="2">
        <f>_Salesdata[[#This Row],[Unit_Cost]] * _Salesdata[[#This Row],[Quantity_Sold]]</f>
        <v>3865.4</v>
      </c>
      <c r="Q34" s="2">
        <f>_Salesdata[[#This Row],[Gross_Sales]] - _Salesdata[[#This Row],[Total Cost]]</f>
        <v>2088.4</v>
      </c>
      <c r="R34" s="2"/>
    </row>
    <row r="35" spans="1:18" x14ac:dyDescent="0.25">
      <c r="A35">
        <v>1053</v>
      </c>
      <c r="B35" s="1">
        <v>45113</v>
      </c>
      <c r="C35" t="s">
        <v>35</v>
      </c>
      <c r="D35" t="s">
        <v>18</v>
      </c>
      <c r="E35" s="2">
        <v>4396.8100000000004</v>
      </c>
      <c r="F35">
        <v>11</v>
      </c>
      <c r="G35" t="s">
        <v>26</v>
      </c>
      <c r="H35" s="2">
        <v>200.56</v>
      </c>
      <c r="I35" s="2">
        <v>540.38</v>
      </c>
      <c r="J35" t="s">
        <v>27</v>
      </c>
      <c r="K35">
        <v>0.18</v>
      </c>
      <c r="L35" t="s">
        <v>44</v>
      </c>
      <c r="M35" t="s">
        <v>22</v>
      </c>
      <c r="N35" t="s">
        <v>36</v>
      </c>
      <c r="O35" s="2">
        <f>_Salesdata[[#This Row],[Unit_Price]] * _Salesdata[[#This Row],[Quantity_Sold]]</f>
        <v>5944.18</v>
      </c>
      <c r="P35" s="2">
        <f>_Salesdata[[#This Row],[Unit_Cost]] * _Salesdata[[#This Row],[Quantity_Sold]]</f>
        <v>2206.16</v>
      </c>
      <c r="Q35" s="2">
        <f>_Salesdata[[#This Row],[Gross_Sales]] - _Salesdata[[#This Row],[Total Cost]]</f>
        <v>3738.0200000000004</v>
      </c>
      <c r="R35" s="2"/>
    </row>
    <row r="36" spans="1:18" x14ac:dyDescent="0.25">
      <c r="A36">
        <v>1090</v>
      </c>
      <c r="B36" s="1">
        <v>45195</v>
      </c>
      <c r="C36" t="s">
        <v>48</v>
      </c>
      <c r="D36" t="s">
        <v>37</v>
      </c>
      <c r="E36" s="2">
        <v>7350.77</v>
      </c>
      <c r="F36">
        <v>11</v>
      </c>
      <c r="G36" t="s">
        <v>26</v>
      </c>
      <c r="H36" s="2">
        <v>210.33</v>
      </c>
      <c r="I36" s="2">
        <v>552.29</v>
      </c>
      <c r="J36" t="s">
        <v>20</v>
      </c>
      <c r="K36">
        <v>0.18</v>
      </c>
      <c r="L36" t="s">
        <v>21</v>
      </c>
      <c r="M36" t="s">
        <v>32</v>
      </c>
      <c r="N36" t="s">
        <v>52</v>
      </c>
      <c r="O36" s="2">
        <f>_Salesdata[[#This Row],[Unit_Price]] * _Salesdata[[#This Row],[Quantity_Sold]]</f>
        <v>6075.19</v>
      </c>
      <c r="P36" s="2">
        <f>_Salesdata[[#This Row],[Unit_Cost]] * _Salesdata[[#This Row],[Quantity_Sold]]</f>
        <v>2313.63</v>
      </c>
      <c r="Q36" s="2">
        <f>_Salesdata[[#This Row],[Gross_Sales]] - _Salesdata[[#This Row],[Total Cost]]</f>
        <v>3761.5599999999995</v>
      </c>
      <c r="R36" s="2"/>
    </row>
    <row r="37" spans="1:18" x14ac:dyDescent="0.25">
      <c r="A37">
        <v>1067</v>
      </c>
      <c r="B37" s="1">
        <v>44935</v>
      </c>
      <c r="C37" t="s">
        <v>35</v>
      </c>
      <c r="D37" t="s">
        <v>37</v>
      </c>
      <c r="E37" s="2">
        <v>1875.71</v>
      </c>
      <c r="F37">
        <v>48</v>
      </c>
      <c r="G37" t="s">
        <v>26</v>
      </c>
      <c r="H37" s="2">
        <v>210.63</v>
      </c>
      <c r="I37" s="2">
        <v>533.57999999999902</v>
      </c>
      <c r="J37" t="s">
        <v>27</v>
      </c>
      <c r="K37">
        <v>0.04</v>
      </c>
      <c r="L37" t="s">
        <v>44</v>
      </c>
      <c r="M37" t="s">
        <v>22</v>
      </c>
      <c r="N37" t="s">
        <v>38</v>
      </c>
      <c r="O37" s="2">
        <f>_Salesdata[[#This Row],[Unit_Price]] * _Salesdata[[#This Row],[Quantity_Sold]]</f>
        <v>25611.839999999953</v>
      </c>
      <c r="P37" s="2">
        <f>_Salesdata[[#This Row],[Unit_Cost]] * _Salesdata[[#This Row],[Quantity_Sold]]</f>
        <v>10110.24</v>
      </c>
      <c r="Q37" s="2">
        <f>_Salesdata[[#This Row],[Gross_Sales]] - _Salesdata[[#This Row],[Total Cost]]</f>
        <v>15501.599999999953</v>
      </c>
      <c r="R37" s="2"/>
    </row>
    <row r="38" spans="1:18" x14ac:dyDescent="0.25">
      <c r="A38">
        <v>1098</v>
      </c>
      <c r="B38" s="1">
        <v>45292</v>
      </c>
      <c r="C38" t="s">
        <v>17</v>
      </c>
      <c r="D38" t="s">
        <v>40</v>
      </c>
      <c r="E38" s="2">
        <v>2370.7199999999998</v>
      </c>
      <c r="F38">
        <v>11</v>
      </c>
      <c r="G38" t="s">
        <v>19</v>
      </c>
      <c r="H38" s="2">
        <v>213.41</v>
      </c>
      <c r="I38" s="2">
        <v>503.36</v>
      </c>
      <c r="J38" t="s">
        <v>20</v>
      </c>
      <c r="K38">
        <v>0.27</v>
      </c>
      <c r="L38" t="s">
        <v>44</v>
      </c>
      <c r="M38" t="s">
        <v>22</v>
      </c>
      <c r="N38" t="s">
        <v>42</v>
      </c>
      <c r="O38" s="2">
        <f>_Salesdata[[#This Row],[Unit_Price]] * _Salesdata[[#This Row],[Quantity_Sold]]</f>
        <v>5536.96</v>
      </c>
      <c r="P38" s="2">
        <f>_Salesdata[[#This Row],[Unit_Cost]] * _Salesdata[[#This Row],[Quantity_Sold]]</f>
        <v>2347.5099999999998</v>
      </c>
      <c r="Q38" s="2">
        <f>_Salesdata[[#This Row],[Gross_Sales]] - _Salesdata[[#This Row],[Total Cost]]</f>
        <v>3189.4500000000003</v>
      </c>
      <c r="R38" s="2"/>
    </row>
    <row r="39" spans="1:18" x14ac:dyDescent="0.25">
      <c r="A39">
        <v>1059</v>
      </c>
      <c r="B39" s="1">
        <v>45217</v>
      </c>
      <c r="C39" t="s">
        <v>24</v>
      </c>
      <c r="D39" t="s">
        <v>37</v>
      </c>
      <c r="E39" s="2">
        <v>5097.4799999999996</v>
      </c>
      <c r="F39">
        <v>28</v>
      </c>
      <c r="G39" t="s">
        <v>26</v>
      </c>
      <c r="H39" s="2">
        <v>224.32</v>
      </c>
      <c r="I39" s="2">
        <v>715.06</v>
      </c>
      <c r="J39" t="s">
        <v>20</v>
      </c>
      <c r="K39">
        <v>0.01</v>
      </c>
      <c r="L39" t="s">
        <v>28</v>
      </c>
      <c r="M39" t="s">
        <v>22</v>
      </c>
      <c r="N39" t="s">
        <v>53</v>
      </c>
      <c r="O39" s="2">
        <f>_Salesdata[[#This Row],[Unit_Price]] * _Salesdata[[#This Row],[Quantity_Sold]]</f>
        <v>20021.68</v>
      </c>
      <c r="P39" s="2">
        <f>_Salesdata[[#This Row],[Unit_Cost]] * _Salesdata[[#This Row],[Quantity_Sold]]</f>
        <v>6280.96</v>
      </c>
      <c r="Q39" s="2">
        <f>_Salesdata[[#This Row],[Gross_Sales]] - _Salesdata[[#This Row],[Total Cost]]</f>
        <v>13740.720000000001</v>
      </c>
      <c r="R39" s="2"/>
    </row>
    <row r="40" spans="1:18" x14ac:dyDescent="0.25">
      <c r="A40">
        <v>1093</v>
      </c>
      <c r="B40" s="1">
        <v>45152</v>
      </c>
      <c r="C40" t="s">
        <v>30</v>
      </c>
      <c r="D40" t="s">
        <v>25</v>
      </c>
      <c r="E40" s="2">
        <v>6885.89</v>
      </c>
      <c r="F40">
        <v>6</v>
      </c>
      <c r="G40" t="s">
        <v>31</v>
      </c>
      <c r="H40" s="2">
        <v>235.12</v>
      </c>
      <c r="I40" s="2">
        <v>677.5</v>
      </c>
      <c r="J40" t="s">
        <v>20</v>
      </c>
      <c r="K40">
        <v>0.16</v>
      </c>
      <c r="L40" t="s">
        <v>28</v>
      </c>
      <c r="M40" t="s">
        <v>22</v>
      </c>
      <c r="N40" t="s">
        <v>45</v>
      </c>
      <c r="O40" s="2">
        <f>_Salesdata[[#This Row],[Unit_Price]] * _Salesdata[[#This Row],[Quantity_Sold]]</f>
        <v>4065</v>
      </c>
      <c r="P40" s="2">
        <f>_Salesdata[[#This Row],[Unit_Cost]] * _Salesdata[[#This Row],[Quantity_Sold]]</f>
        <v>1410.72</v>
      </c>
      <c r="Q40" s="2">
        <f>_Salesdata[[#This Row],[Gross_Sales]] - _Salesdata[[#This Row],[Total Cost]]</f>
        <v>2654.2799999999997</v>
      </c>
      <c r="R40" s="2"/>
    </row>
    <row r="41" spans="1:18" x14ac:dyDescent="0.25">
      <c r="A41">
        <v>1045</v>
      </c>
      <c r="B41" s="1">
        <v>45271</v>
      </c>
      <c r="C41" t="s">
        <v>24</v>
      </c>
      <c r="D41" t="s">
        <v>25</v>
      </c>
      <c r="E41" s="2">
        <v>6400.11</v>
      </c>
      <c r="F41">
        <v>22</v>
      </c>
      <c r="G41" t="s">
        <v>19</v>
      </c>
      <c r="H41" s="2">
        <v>241.85</v>
      </c>
      <c r="I41" s="2">
        <v>613.09</v>
      </c>
      <c r="J41" t="s">
        <v>20</v>
      </c>
      <c r="K41">
        <v>0.06</v>
      </c>
      <c r="L41" t="s">
        <v>21</v>
      </c>
      <c r="M41" t="s">
        <v>22</v>
      </c>
      <c r="N41" t="s">
        <v>29</v>
      </c>
      <c r="O41" s="2">
        <f>_Salesdata[[#This Row],[Unit_Price]] * _Salesdata[[#This Row],[Quantity_Sold]]</f>
        <v>13487.980000000001</v>
      </c>
      <c r="P41" s="2">
        <f>_Salesdata[[#This Row],[Unit_Cost]] * _Salesdata[[#This Row],[Quantity_Sold]]</f>
        <v>5320.7</v>
      </c>
      <c r="Q41" s="2">
        <f>_Salesdata[[#This Row],[Gross_Sales]] - _Salesdata[[#This Row],[Total Cost]]</f>
        <v>8167.2800000000016</v>
      </c>
      <c r="R41" s="2"/>
    </row>
    <row r="42" spans="1:18" x14ac:dyDescent="0.25">
      <c r="A42">
        <v>1096</v>
      </c>
      <c r="B42" s="1">
        <v>45087</v>
      </c>
      <c r="C42" t="s">
        <v>35</v>
      </c>
      <c r="D42" t="s">
        <v>40</v>
      </c>
      <c r="E42" s="2">
        <v>2320.5100000000002</v>
      </c>
      <c r="F42">
        <v>6</v>
      </c>
      <c r="G42" t="s">
        <v>39</v>
      </c>
      <c r="H42" s="2">
        <v>252.62</v>
      </c>
      <c r="I42" s="2">
        <v>742</v>
      </c>
      <c r="J42" t="s">
        <v>27</v>
      </c>
      <c r="K42">
        <v>0.22</v>
      </c>
      <c r="L42" t="s">
        <v>28</v>
      </c>
      <c r="M42" t="s">
        <v>32</v>
      </c>
      <c r="N42" t="s">
        <v>43</v>
      </c>
      <c r="O42" s="2">
        <f>_Salesdata[[#This Row],[Unit_Price]] * _Salesdata[[#This Row],[Quantity_Sold]]</f>
        <v>4452</v>
      </c>
      <c r="P42" s="2">
        <f>_Salesdata[[#This Row],[Unit_Cost]] * _Salesdata[[#This Row],[Quantity_Sold]]</f>
        <v>1515.72</v>
      </c>
      <c r="Q42" s="2">
        <f>_Salesdata[[#This Row],[Gross_Sales]] - _Salesdata[[#This Row],[Total Cost]]</f>
        <v>2936.2799999999997</v>
      </c>
      <c r="R42" s="2"/>
    </row>
    <row r="43" spans="1:18" x14ac:dyDescent="0.25">
      <c r="A43">
        <v>1005</v>
      </c>
      <c r="B43" s="1">
        <v>44993</v>
      </c>
      <c r="C43" t="s">
        <v>24</v>
      </c>
      <c r="D43" t="s">
        <v>37</v>
      </c>
      <c r="E43" s="2">
        <v>4426.26</v>
      </c>
      <c r="F43">
        <v>12</v>
      </c>
      <c r="G43" t="s">
        <v>19</v>
      </c>
      <c r="H43" s="2">
        <v>253.29</v>
      </c>
      <c r="I43" s="2">
        <v>683.78</v>
      </c>
      <c r="J43" t="s">
        <v>27</v>
      </c>
      <c r="K43">
        <v>0.25</v>
      </c>
      <c r="L43" t="s">
        <v>28</v>
      </c>
      <c r="M43" t="s">
        <v>22</v>
      </c>
      <c r="N43" t="s">
        <v>53</v>
      </c>
      <c r="O43" s="2">
        <f>_Salesdata[[#This Row],[Unit_Price]] * _Salesdata[[#This Row],[Quantity_Sold]]</f>
        <v>8205.36</v>
      </c>
      <c r="P43" s="2">
        <f>_Salesdata[[#This Row],[Unit_Cost]] * _Salesdata[[#This Row],[Quantity_Sold]]</f>
        <v>3039.48</v>
      </c>
      <c r="Q43" s="2">
        <f>_Salesdata[[#This Row],[Gross_Sales]] - _Salesdata[[#This Row],[Total Cost]]</f>
        <v>5165.880000000001</v>
      </c>
      <c r="R43" s="2"/>
    </row>
    <row r="44" spans="1:18" x14ac:dyDescent="0.25">
      <c r="A44">
        <v>1015</v>
      </c>
      <c r="B44" s="1">
        <v>45190</v>
      </c>
      <c r="C44" t="s">
        <v>30</v>
      </c>
      <c r="D44" t="s">
        <v>40</v>
      </c>
      <c r="E44" s="2">
        <v>4631.2299999999996</v>
      </c>
      <c r="F44">
        <v>30</v>
      </c>
      <c r="G44" t="s">
        <v>31</v>
      </c>
      <c r="H44" s="2">
        <v>261.56</v>
      </c>
      <c r="I44" s="2">
        <v>371.4</v>
      </c>
      <c r="J44" t="s">
        <v>20</v>
      </c>
      <c r="K44">
        <v>0.2</v>
      </c>
      <c r="L44" t="s">
        <v>44</v>
      </c>
      <c r="M44" t="s">
        <v>32</v>
      </c>
      <c r="N44" t="s">
        <v>41</v>
      </c>
      <c r="O44" s="2">
        <f>_Salesdata[[#This Row],[Unit_Price]] * _Salesdata[[#This Row],[Quantity_Sold]]</f>
        <v>11142</v>
      </c>
      <c r="P44" s="2">
        <f>_Salesdata[[#This Row],[Unit_Cost]] * _Salesdata[[#This Row],[Quantity_Sold]]</f>
        <v>7846.8</v>
      </c>
      <c r="Q44" s="2">
        <f>_Salesdata[[#This Row],[Gross_Sales]] - _Salesdata[[#This Row],[Total Cost]]</f>
        <v>3295.2</v>
      </c>
      <c r="R44" s="2"/>
    </row>
    <row r="45" spans="1:18" x14ac:dyDescent="0.25">
      <c r="A45">
        <v>1074</v>
      </c>
      <c r="B45" s="1">
        <v>45276</v>
      </c>
      <c r="C45" t="s">
        <v>17</v>
      </c>
      <c r="D45" t="s">
        <v>37</v>
      </c>
      <c r="E45" s="2">
        <v>6310.56</v>
      </c>
      <c r="F45">
        <v>19</v>
      </c>
      <c r="G45" t="s">
        <v>39</v>
      </c>
      <c r="H45" s="2">
        <v>278.67</v>
      </c>
      <c r="I45" s="2">
        <v>423.13</v>
      </c>
      <c r="J45" t="s">
        <v>27</v>
      </c>
      <c r="K45">
        <v>0.24</v>
      </c>
      <c r="L45" t="s">
        <v>28</v>
      </c>
      <c r="M45" t="s">
        <v>22</v>
      </c>
      <c r="N45" t="s">
        <v>47</v>
      </c>
      <c r="O45" s="2">
        <f>_Salesdata[[#This Row],[Unit_Price]] * _Salesdata[[#This Row],[Quantity_Sold]]</f>
        <v>8039.47</v>
      </c>
      <c r="P45" s="2">
        <f>_Salesdata[[#This Row],[Unit_Cost]] * _Salesdata[[#This Row],[Quantity_Sold]]</f>
        <v>5294.7300000000005</v>
      </c>
      <c r="Q45" s="2">
        <f>_Salesdata[[#This Row],[Gross_Sales]] - _Salesdata[[#This Row],[Total Cost]]</f>
        <v>2744.74</v>
      </c>
      <c r="R45" s="2"/>
    </row>
    <row r="46" spans="1:18" x14ac:dyDescent="0.25">
      <c r="A46">
        <v>1027</v>
      </c>
      <c r="B46" s="1">
        <v>45161</v>
      </c>
      <c r="C46" t="s">
        <v>17</v>
      </c>
      <c r="D46" t="s">
        <v>18</v>
      </c>
      <c r="E46" s="2">
        <v>4036.36</v>
      </c>
      <c r="F46">
        <v>4</v>
      </c>
      <c r="G46" t="s">
        <v>26</v>
      </c>
      <c r="H46" s="2">
        <v>282.61</v>
      </c>
      <c r="I46" s="2">
        <v>548.25</v>
      </c>
      <c r="J46" t="s">
        <v>27</v>
      </c>
      <c r="K46">
        <v>0.17</v>
      </c>
      <c r="L46" t="s">
        <v>28</v>
      </c>
      <c r="M46" t="s">
        <v>22</v>
      </c>
      <c r="N46" t="s">
        <v>23</v>
      </c>
      <c r="O46" s="2">
        <f>_Salesdata[[#This Row],[Unit_Price]] * _Salesdata[[#This Row],[Quantity_Sold]]</f>
        <v>2193</v>
      </c>
      <c r="P46" s="2">
        <f>_Salesdata[[#This Row],[Unit_Cost]] * _Salesdata[[#This Row],[Quantity_Sold]]</f>
        <v>1130.44</v>
      </c>
      <c r="Q46" s="2">
        <f>_Salesdata[[#This Row],[Gross_Sales]] - _Salesdata[[#This Row],[Total Cost]]</f>
        <v>1062.56</v>
      </c>
      <c r="R46" s="2"/>
    </row>
    <row r="47" spans="1:18" x14ac:dyDescent="0.25">
      <c r="A47">
        <v>1016</v>
      </c>
      <c r="B47" s="1">
        <v>45155</v>
      </c>
      <c r="C47" t="s">
        <v>48</v>
      </c>
      <c r="D47" t="s">
        <v>25</v>
      </c>
      <c r="E47" s="2">
        <v>777.74</v>
      </c>
      <c r="F47">
        <v>7</v>
      </c>
      <c r="G47" t="s">
        <v>31</v>
      </c>
      <c r="H47" s="2">
        <v>282.94</v>
      </c>
      <c r="I47" s="2">
        <v>779.32999999999902</v>
      </c>
      <c r="J47" t="s">
        <v>20</v>
      </c>
      <c r="K47">
        <v>0.28000000000000003</v>
      </c>
      <c r="L47" t="s">
        <v>28</v>
      </c>
      <c r="M47" t="s">
        <v>22</v>
      </c>
      <c r="N47" t="s">
        <v>49</v>
      </c>
      <c r="O47" s="2">
        <f>_Salesdata[[#This Row],[Unit_Price]] * _Salesdata[[#This Row],[Quantity_Sold]]</f>
        <v>5455.3099999999931</v>
      </c>
      <c r="P47" s="2">
        <f>_Salesdata[[#This Row],[Unit_Cost]] * _Salesdata[[#This Row],[Quantity_Sold]]</f>
        <v>1980.58</v>
      </c>
      <c r="Q47" s="2">
        <f>_Salesdata[[#This Row],[Gross_Sales]] - _Salesdata[[#This Row],[Total Cost]]</f>
        <v>3474.7299999999932</v>
      </c>
      <c r="R47" s="2"/>
    </row>
    <row r="48" spans="1:18" x14ac:dyDescent="0.25">
      <c r="A48">
        <v>1059</v>
      </c>
      <c r="B48" s="1">
        <v>45079</v>
      </c>
      <c r="C48" t="s">
        <v>17</v>
      </c>
      <c r="D48" t="s">
        <v>25</v>
      </c>
      <c r="E48" s="2">
        <v>279.43</v>
      </c>
      <c r="F48">
        <v>47</v>
      </c>
      <c r="G48" t="s">
        <v>39</v>
      </c>
      <c r="H48" s="2">
        <v>287.17</v>
      </c>
      <c r="I48" s="2">
        <v>657.44</v>
      </c>
      <c r="J48" t="s">
        <v>20</v>
      </c>
      <c r="K48">
        <v>0.14000000000000001</v>
      </c>
      <c r="L48" t="s">
        <v>28</v>
      </c>
      <c r="M48" t="s">
        <v>32</v>
      </c>
      <c r="N48" t="s">
        <v>34</v>
      </c>
      <c r="O48" s="2">
        <f>_Salesdata[[#This Row],[Unit_Price]] * _Salesdata[[#This Row],[Quantity_Sold]]</f>
        <v>30899.680000000004</v>
      </c>
      <c r="P48" s="2">
        <f>_Salesdata[[#This Row],[Unit_Cost]] * _Salesdata[[#This Row],[Quantity_Sold]]</f>
        <v>13496.990000000002</v>
      </c>
      <c r="Q48" s="2">
        <f>_Salesdata[[#This Row],[Gross_Sales]] - _Salesdata[[#This Row],[Total Cost]]</f>
        <v>17402.690000000002</v>
      </c>
      <c r="R48" s="2"/>
    </row>
    <row r="49" spans="1:18" x14ac:dyDescent="0.25">
      <c r="A49">
        <v>1051</v>
      </c>
      <c r="B49" s="1">
        <v>45215</v>
      </c>
      <c r="C49" t="s">
        <v>24</v>
      </c>
      <c r="D49" t="s">
        <v>25</v>
      </c>
      <c r="E49" s="2">
        <v>7617</v>
      </c>
      <c r="F49">
        <v>43</v>
      </c>
      <c r="G49" t="s">
        <v>19</v>
      </c>
      <c r="H49" s="2">
        <v>287.99</v>
      </c>
      <c r="I49" s="2">
        <v>666.64</v>
      </c>
      <c r="J49" t="s">
        <v>20</v>
      </c>
      <c r="K49">
        <v>0</v>
      </c>
      <c r="L49" t="s">
        <v>44</v>
      </c>
      <c r="M49" t="s">
        <v>22</v>
      </c>
      <c r="N49" t="s">
        <v>29</v>
      </c>
      <c r="O49" s="2">
        <f>_Salesdata[[#This Row],[Unit_Price]] * _Salesdata[[#This Row],[Quantity_Sold]]</f>
        <v>28665.52</v>
      </c>
      <c r="P49" s="2">
        <f>_Salesdata[[#This Row],[Unit_Cost]] * _Salesdata[[#This Row],[Quantity_Sold]]</f>
        <v>12383.57</v>
      </c>
      <c r="Q49" s="2">
        <f>_Salesdata[[#This Row],[Gross_Sales]] - _Salesdata[[#This Row],[Total Cost]]</f>
        <v>16281.95</v>
      </c>
      <c r="R49" s="2"/>
    </row>
    <row r="50" spans="1:18" x14ac:dyDescent="0.25">
      <c r="A50">
        <v>1071</v>
      </c>
      <c r="B50" s="1">
        <v>45103</v>
      </c>
      <c r="C50" t="s">
        <v>30</v>
      </c>
      <c r="D50" t="s">
        <v>37</v>
      </c>
      <c r="E50" s="2">
        <v>6664.17</v>
      </c>
      <c r="F50">
        <v>35</v>
      </c>
      <c r="G50" t="s">
        <v>19</v>
      </c>
      <c r="H50" s="2">
        <v>295.82</v>
      </c>
      <c r="I50" s="2">
        <v>684.67</v>
      </c>
      <c r="J50" t="s">
        <v>27</v>
      </c>
      <c r="K50">
        <v>0.03</v>
      </c>
      <c r="L50" t="s">
        <v>28</v>
      </c>
      <c r="M50" t="s">
        <v>22</v>
      </c>
      <c r="N50" t="s">
        <v>51</v>
      </c>
      <c r="O50" s="2">
        <f>_Salesdata[[#This Row],[Unit_Price]] * _Salesdata[[#This Row],[Quantity_Sold]]</f>
        <v>23963.449999999997</v>
      </c>
      <c r="P50" s="2">
        <f>_Salesdata[[#This Row],[Unit_Cost]] * _Salesdata[[#This Row],[Quantity_Sold]]</f>
        <v>10353.699999999999</v>
      </c>
      <c r="Q50" s="2">
        <f>_Salesdata[[#This Row],[Gross_Sales]] - _Salesdata[[#This Row],[Total Cost]]</f>
        <v>13609.749999999998</v>
      </c>
      <c r="R50" s="2"/>
    </row>
    <row r="51" spans="1:18" x14ac:dyDescent="0.25">
      <c r="A51">
        <v>1069</v>
      </c>
      <c r="B51" s="1">
        <v>45075</v>
      </c>
      <c r="C51" t="s">
        <v>24</v>
      </c>
      <c r="D51" t="s">
        <v>37</v>
      </c>
      <c r="E51" s="2">
        <v>4494.8</v>
      </c>
      <c r="F51">
        <v>30</v>
      </c>
      <c r="G51" t="s">
        <v>26</v>
      </c>
      <c r="H51" s="2">
        <v>300.01</v>
      </c>
      <c r="I51" s="2">
        <v>477.67999999999898</v>
      </c>
      <c r="J51" t="s">
        <v>27</v>
      </c>
      <c r="K51">
        <v>0.11</v>
      </c>
      <c r="L51" t="s">
        <v>44</v>
      </c>
      <c r="M51" t="s">
        <v>32</v>
      </c>
      <c r="N51" t="s">
        <v>53</v>
      </c>
      <c r="O51" s="2">
        <f>_Salesdata[[#This Row],[Unit_Price]] * _Salesdata[[#This Row],[Quantity_Sold]]</f>
        <v>14330.399999999969</v>
      </c>
      <c r="P51" s="2">
        <f>_Salesdata[[#This Row],[Unit_Cost]] * _Salesdata[[#This Row],[Quantity_Sold]]</f>
        <v>9000.2999999999993</v>
      </c>
      <c r="Q51" s="2">
        <f>_Salesdata[[#This Row],[Gross_Sales]] - _Salesdata[[#This Row],[Total Cost]]</f>
        <v>5330.0999999999694</v>
      </c>
      <c r="R51" s="2"/>
    </row>
    <row r="52" spans="1:18" x14ac:dyDescent="0.25">
      <c r="A52">
        <v>1023</v>
      </c>
      <c r="B52" s="1">
        <v>45222</v>
      </c>
      <c r="C52" t="s">
        <v>30</v>
      </c>
      <c r="D52" t="s">
        <v>40</v>
      </c>
      <c r="E52" s="2">
        <v>9519.76</v>
      </c>
      <c r="F52">
        <v>42</v>
      </c>
      <c r="G52" t="s">
        <v>31</v>
      </c>
      <c r="H52" s="2">
        <v>309.77999999999997</v>
      </c>
      <c r="I52" s="2">
        <v>350.38</v>
      </c>
      <c r="J52" t="s">
        <v>20</v>
      </c>
      <c r="K52">
        <v>0.19</v>
      </c>
      <c r="L52" t="s">
        <v>28</v>
      </c>
      <c r="M52" t="s">
        <v>32</v>
      </c>
      <c r="N52" t="s">
        <v>41</v>
      </c>
      <c r="O52" s="2">
        <f>_Salesdata[[#This Row],[Unit_Price]] * _Salesdata[[#This Row],[Quantity_Sold]]</f>
        <v>14715.96</v>
      </c>
      <c r="P52" s="2">
        <f>_Salesdata[[#This Row],[Unit_Cost]] * _Salesdata[[#This Row],[Quantity_Sold]]</f>
        <v>13010.759999999998</v>
      </c>
      <c r="Q52" s="2">
        <f>_Salesdata[[#This Row],[Gross_Sales]] - _Salesdata[[#This Row],[Total Cost]]</f>
        <v>1705.2000000000007</v>
      </c>
      <c r="R52" s="2"/>
    </row>
    <row r="53" spans="1:18" x14ac:dyDescent="0.25">
      <c r="A53">
        <v>1070</v>
      </c>
      <c r="B53" s="1">
        <v>45242</v>
      </c>
      <c r="C53" t="s">
        <v>17</v>
      </c>
      <c r="D53" t="s">
        <v>40</v>
      </c>
      <c r="E53" s="2">
        <v>7448.31</v>
      </c>
      <c r="F53">
        <v>9</v>
      </c>
      <c r="G53" t="s">
        <v>26</v>
      </c>
      <c r="H53" s="2">
        <v>310.24</v>
      </c>
      <c r="I53" s="2">
        <v>451.81</v>
      </c>
      <c r="J53" t="s">
        <v>20</v>
      </c>
      <c r="K53">
        <v>0.1</v>
      </c>
      <c r="L53" t="s">
        <v>21</v>
      </c>
      <c r="M53" t="s">
        <v>32</v>
      </c>
      <c r="N53" t="s">
        <v>42</v>
      </c>
      <c r="O53" s="2">
        <f>_Salesdata[[#This Row],[Unit_Price]] * _Salesdata[[#This Row],[Quantity_Sold]]</f>
        <v>4066.29</v>
      </c>
      <c r="P53" s="2">
        <f>_Salesdata[[#This Row],[Unit_Cost]] * _Salesdata[[#This Row],[Quantity_Sold]]</f>
        <v>2792.16</v>
      </c>
      <c r="Q53" s="2">
        <f>_Salesdata[[#This Row],[Gross_Sales]] - _Salesdata[[#This Row],[Total Cost]]</f>
        <v>1274.1300000000001</v>
      </c>
      <c r="R53" s="2"/>
    </row>
    <row r="54" spans="1:18" x14ac:dyDescent="0.25">
      <c r="A54">
        <v>1003</v>
      </c>
      <c r="B54" s="1">
        <v>45073</v>
      </c>
      <c r="C54" t="s">
        <v>48</v>
      </c>
      <c r="D54" t="s">
        <v>18</v>
      </c>
      <c r="E54" s="2">
        <v>5119.8900000000003</v>
      </c>
      <c r="F54">
        <v>39</v>
      </c>
      <c r="G54" t="s">
        <v>19</v>
      </c>
      <c r="H54" s="2">
        <v>310.95999999999998</v>
      </c>
      <c r="I54" s="2">
        <v>457.84</v>
      </c>
      <c r="J54" t="s">
        <v>27</v>
      </c>
      <c r="K54">
        <v>0.03</v>
      </c>
      <c r="L54" t="s">
        <v>28</v>
      </c>
      <c r="M54" t="s">
        <v>22</v>
      </c>
      <c r="N54" t="s">
        <v>54</v>
      </c>
      <c r="O54" s="2">
        <f>_Salesdata[[#This Row],[Unit_Price]] * _Salesdata[[#This Row],[Quantity_Sold]]</f>
        <v>17855.759999999998</v>
      </c>
      <c r="P54" s="2">
        <f>_Salesdata[[#This Row],[Unit_Cost]] * _Salesdata[[#This Row],[Quantity_Sold]]</f>
        <v>12127.439999999999</v>
      </c>
      <c r="Q54" s="2">
        <f>_Salesdata[[#This Row],[Gross_Sales]] - _Salesdata[[#This Row],[Total Cost]]</f>
        <v>5728.32</v>
      </c>
      <c r="R54" s="2"/>
    </row>
    <row r="55" spans="1:18" x14ac:dyDescent="0.25">
      <c r="A55">
        <v>1045</v>
      </c>
      <c r="B55" s="1">
        <v>45083</v>
      </c>
      <c r="C55" t="s">
        <v>17</v>
      </c>
      <c r="D55" t="s">
        <v>40</v>
      </c>
      <c r="E55" s="2">
        <v>3284.53</v>
      </c>
      <c r="F55">
        <v>15</v>
      </c>
      <c r="G55" t="s">
        <v>26</v>
      </c>
      <c r="H55" s="2">
        <v>316.22000000000003</v>
      </c>
      <c r="I55" s="2">
        <v>799.04</v>
      </c>
      <c r="J55" t="s">
        <v>27</v>
      </c>
      <c r="K55">
        <v>0</v>
      </c>
      <c r="L55" t="s">
        <v>44</v>
      </c>
      <c r="M55" t="s">
        <v>22</v>
      </c>
      <c r="N55" t="s">
        <v>42</v>
      </c>
      <c r="O55" s="2">
        <f>_Salesdata[[#This Row],[Unit_Price]] * _Salesdata[[#This Row],[Quantity_Sold]]</f>
        <v>11985.599999999999</v>
      </c>
      <c r="P55" s="2">
        <f>_Salesdata[[#This Row],[Unit_Cost]] * _Salesdata[[#This Row],[Quantity_Sold]]</f>
        <v>4743.3</v>
      </c>
      <c r="Q55" s="2">
        <f>_Salesdata[[#This Row],[Gross_Sales]] - _Salesdata[[#This Row],[Total Cost]]</f>
        <v>7242.2999999999984</v>
      </c>
      <c r="R55" s="2"/>
    </row>
    <row r="56" spans="1:18" x14ac:dyDescent="0.25">
      <c r="A56">
        <v>1005</v>
      </c>
      <c r="B56" s="1">
        <v>45015</v>
      </c>
      <c r="C56" t="s">
        <v>24</v>
      </c>
      <c r="D56" t="s">
        <v>18</v>
      </c>
      <c r="E56" s="2">
        <v>6828.24</v>
      </c>
      <c r="F56">
        <v>12</v>
      </c>
      <c r="G56" t="s">
        <v>26</v>
      </c>
      <c r="H56" s="2">
        <v>319.83</v>
      </c>
      <c r="I56" s="2">
        <v>802.43</v>
      </c>
      <c r="J56" t="s">
        <v>27</v>
      </c>
      <c r="K56">
        <v>0.04</v>
      </c>
      <c r="L56" t="s">
        <v>28</v>
      </c>
      <c r="M56" t="s">
        <v>32</v>
      </c>
      <c r="N56" t="s">
        <v>46</v>
      </c>
      <c r="O56" s="2">
        <f>_Salesdata[[#This Row],[Unit_Price]] * _Salesdata[[#This Row],[Quantity_Sold]]</f>
        <v>9629.16</v>
      </c>
      <c r="P56" s="2">
        <f>_Salesdata[[#This Row],[Unit_Cost]] * _Salesdata[[#This Row],[Quantity_Sold]]</f>
        <v>3837.96</v>
      </c>
      <c r="Q56" s="2">
        <f>_Salesdata[[#This Row],[Gross_Sales]] - _Salesdata[[#This Row],[Total Cost]]</f>
        <v>5791.2</v>
      </c>
      <c r="R56" s="2"/>
    </row>
    <row r="57" spans="1:18" x14ac:dyDescent="0.25">
      <c r="A57">
        <v>1046</v>
      </c>
      <c r="B57" s="1">
        <v>45177</v>
      </c>
      <c r="C57" t="s">
        <v>24</v>
      </c>
      <c r="D57" t="s">
        <v>37</v>
      </c>
      <c r="E57" s="2">
        <v>8398.48</v>
      </c>
      <c r="F57">
        <v>30</v>
      </c>
      <c r="G57" t="s">
        <v>39</v>
      </c>
      <c r="H57" s="2">
        <v>320.73</v>
      </c>
      <c r="I57" s="2">
        <v>678.04</v>
      </c>
      <c r="J57" t="s">
        <v>20</v>
      </c>
      <c r="K57">
        <v>0.08</v>
      </c>
      <c r="L57" t="s">
        <v>21</v>
      </c>
      <c r="M57" t="s">
        <v>32</v>
      </c>
      <c r="N57" t="s">
        <v>53</v>
      </c>
      <c r="O57" s="2">
        <f>_Salesdata[[#This Row],[Unit_Price]] * _Salesdata[[#This Row],[Quantity_Sold]]</f>
        <v>20341.199999999997</v>
      </c>
      <c r="P57" s="2">
        <f>_Salesdata[[#This Row],[Unit_Cost]] * _Salesdata[[#This Row],[Quantity_Sold]]</f>
        <v>9621.9000000000015</v>
      </c>
      <c r="Q57" s="2">
        <f>_Salesdata[[#This Row],[Gross_Sales]] - _Salesdata[[#This Row],[Total Cost]]</f>
        <v>10719.299999999996</v>
      </c>
      <c r="R57" s="2"/>
    </row>
    <row r="58" spans="1:18" x14ac:dyDescent="0.25">
      <c r="A58">
        <v>1023</v>
      </c>
      <c r="B58" s="1">
        <v>45151</v>
      </c>
      <c r="C58" t="s">
        <v>17</v>
      </c>
      <c r="D58" t="s">
        <v>18</v>
      </c>
      <c r="E58" s="2">
        <v>4896.93</v>
      </c>
      <c r="F58">
        <v>38</v>
      </c>
      <c r="G58" t="s">
        <v>19</v>
      </c>
      <c r="H58" s="2">
        <v>324.45</v>
      </c>
      <c r="I58" s="2">
        <v>336.37</v>
      </c>
      <c r="J58" t="s">
        <v>27</v>
      </c>
      <c r="K58">
        <v>0.28000000000000003</v>
      </c>
      <c r="L58" t="s">
        <v>28</v>
      </c>
      <c r="M58" t="s">
        <v>32</v>
      </c>
      <c r="N58" t="s">
        <v>23</v>
      </c>
      <c r="O58" s="2">
        <f>_Salesdata[[#This Row],[Unit_Price]] * _Salesdata[[#This Row],[Quantity_Sold]]</f>
        <v>12782.06</v>
      </c>
      <c r="P58" s="2">
        <f>_Salesdata[[#This Row],[Unit_Cost]] * _Salesdata[[#This Row],[Quantity_Sold]]</f>
        <v>12329.1</v>
      </c>
      <c r="Q58" s="2">
        <f>_Salesdata[[#This Row],[Gross_Sales]] - _Salesdata[[#This Row],[Total Cost]]</f>
        <v>452.95999999999913</v>
      </c>
      <c r="R58" s="2"/>
    </row>
    <row r="59" spans="1:18" x14ac:dyDescent="0.25">
      <c r="A59">
        <v>1012</v>
      </c>
      <c r="B59" s="1">
        <v>45097</v>
      </c>
      <c r="C59" t="s">
        <v>24</v>
      </c>
      <c r="D59" t="s">
        <v>40</v>
      </c>
      <c r="E59" s="2">
        <v>2019.24</v>
      </c>
      <c r="F59">
        <v>47</v>
      </c>
      <c r="G59" t="s">
        <v>19</v>
      </c>
      <c r="H59" s="2">
        <v>325.75</v>
      </c>
      <c r="I59" s="2">
        <v>803.71</v>
      </c>
      <c r="J59" t="s">
        <v>27</v>
      </c>
      <c r="K59">
        <v>0.12</v>
      </c>
      <c r="L59" t="s">
        <v>44</v>
      </c>
      <c r="M59" t="s">
        <v>32</v>
      </c>
      <c r="N59" t="s">
        <v>55</v>
      </c>
      <c r="O59" s="2">
        <f>_Salesdata[[#This Row],[Unit_Price]] * _Salesdata[[#This Row],[Quantity_Sold]]</f>
        <v>37774.370000000003</v>
      </c>
      <c r="P59" s="2">
        <f>_Salesdata[[#This Row],[Unit_Cost]] * _Salesdata[[#This Row],[Quantity_Sold]]</f>
        <v>15310.25</v>
      </c>
      <c r="Q59" s="2">
        <f>_Salesdata[[#This Row],[Gross_Sales]] - _Salesdata[[#This Row],[Total Cost]]</f>
        <v>22464.120000000003</v>
      </c>
      <c r="R59" s="2"/>
    </row>
    <row r="60" spans="1:18" x14ac:dyDescent="0.25">
      <c r="A60">
        <v>1059</v>
      </c>
      <c r="B60" s="1">
        <v>45025</v>
      </c>
      <c r="C60" t="s">
        <v>35</v>
      </c>
      <c r="D60" t="s">
        <v>40</v>
      </c>
      <c r="E60" s="2">
        <v>8063.7</v>
      </c>
      <c r="F60">
        <v>1</v>
      </c>
      <c r="G60" t="s">
        <v>26</v>
      </c>
      <c r="H60" s="2">
        <v>332.62</v>
      </c>
      <c r="I60" s="2">
        <v>612.46</v>
      </c>
      <c r="J60" t="s">
        <v>20</v>
      </c>
      <c r="K60">
        <v>0.24</v>
      </c>
      <c r="L60" t="s">
        <v>21</v>
      </c>
      <c r="M60" t="s">
        <v>32</v>
      </c>
      <c r="N60" t="s">
        <v>43</v>
      </c>
      <c r="O60" s="2">
        <f>_Salesdata[[#This Row],[Unit_Price]] * _Salesdata[[#This Row],[Quantity_Sold]]</f>
        <v>612.46</v>
      </c>
      <c r="P60" s="2">
        <f>_Salesdata[[#This Row],[Unit_Cost]] * _Salesdata[[#This Row],[Quantity_Sold]]</f>
        <v>332.62</v>
      </c>
      <c r="Q60" s="2">
        <f>_Salesdata[[#This Row],[Gross_Sales]] - _Salesdata[[#This Row],[Total Cost]]</f>
        <v>279.84000000000003</v>
      </c>
      <c r="R60" s="2"/>
    </row>
    <row r="61" spans="1:18" x14ac:dyDescent="0.25">
      <c r="A61">
        <v>1094</v>
      </c>
      <c r="B61" s="1">
        <v>45265</v>
      </c>
      <c r="C61" t="s">
        <v>48</v>
      </c>
      <c r="D61" t="s">
        <v>18</v>
      </c>
      <c r="E61" s="2">
        <v>8264.9599999999991</v>
      </c>
      <c r="F61">
        <v>12</v>
      </c>
      <c r="G61" t="s">
        <v>39</v>
      </c>
      <c r="H61" s="2">
        <v>333.32</v>
      </c>
      <c r="I61" s="2">
        <v>700.25</v>
      </c>
      <c r="J61" t="s">
        <v>20</v>
      </c>
      <c r="K61">
        <v>0.14000000000000001</v>
      </c>
      <c r="L61" t="s">
        <v>21</v>
      </c>
      <c r="M61" t="s">
        <v>22</v>
      </c>
      <c r="N61" t="s">
        <v>54</v>
      </c>
      <c r="O61" s="2">
        <f>_Salesdata[[#This Row],[Unit_Price]] * _Salesdata[[#This Row],[Quantity_Sold]]</f>
        <v>8403</v>
      </c>
      <c r="P61" s="2">
        <f>_Salesdata[[#This Row],[Unit_Cost]] * _Salesdata[[#This Row],[Quantity_Sold]]</f>
        <v>3999.84</v>
      </c>
      <c r="Q61" s="2">
        <f>_Salesdata[[#This Row],[Gross_Sales]] - _Salesdata[[#This Row],[Total Cost]]</f>
        <v>4403.16</v>
      </c>
      <c r="R61" s="2"/>
    </row>
    <row r="62" spans="1:18" x14ac:dyDescent="0.25">
      <c r="A62">
        <v>1019</v>
      </c>
      <c r="B62" s="1">
        <v>45228</v>
      </c>
      <c r="C62" t="s">
        <v>30</v>
      </c>
      <c r="D62" t="s">
        <v>25</v>
      </c>
      <c r="E62" s="2">
        <v>5952.19</v>
      </c>
      <c r="F62">
        <v>31</v>
      </c>
      <c r="G62" t="s">
        <v>31</v>
      </c>
      <c r="H62" s="2">
        <v>333.69</v>
      </c>
      <c r="I62" s="2">
        <v>685.1</v>
      </c>
      <c r="J62" t="s">
        <v>27</v>
      </c>
      <c r="K62">
        <v>0.04</v>
      </c>
      <c r="L62" t="s">
        <v>44</v>
      </c>
      <c r="M62" t="s">
        <v>22</v>
      </c>
      <c r="N62" t="s">
        <v>45</v>
      </c>
      <c r="O62" s="2">
        <f>_Salesdata[[#This Row],[Unit_Price]] * _Salesdata[[#This Row],[Quantity_Sold]]</f>
        <v>21238.100000000002</v>
      </c>
      <c r="P62" s="2">
        <f>_Salesdata[[#This Row],[Unit_Cost]] * _Salesdata[[#This Row],[Quantity_Sold]]</f>
        <v>10344.39</v>
      </c>
      <c r="Q62" s="2">
        <f>_Salesdata[[#This Row],[Gross_Sales]] - _Salesdata[[#This Row],[Total Cost]]</f>
        <v>10893.710000000003</v>
      </c>
      <c r="R62" s="2"/>
    </row>
    <row r="63" spans="1:18" x14ac:dyDescent="0.25">
      <c r="A63">
        <v>1065</v>
      </c>
      <c r="B63" s="1">
        <v>45290</v>
      </c>
      <c r="C63" t="s">
        <v>30</v>
      </c>
      <c r="D63" t="s">
        <v>40</v>
      </c>
      <c r="E63" s="2">
        <v>6801.71</v>
      </c>
      <c r="F63">
        <v>9</v>
      </c>
      <c r="G63" t="s">
        <v>19</v>
      </c>
      <c r="H63" s="2">
        <v>335.82</v>
      </c>
      <c r="I63" s="2">
        <v>498.31</v>
      </c>
      <c r="J63" t="s">
        <v>27</v>
      </c>
      <c r="K63">
        <v>0.26</v>
      </c>
      <c r="L63" t="s">
        <v>21</v>
      </c>
      <c r="M63" t="s">
        <v>32</v>
      </c>
      <c r="N63" t="s">
        <v>41</v>
      </c>
      <c r="O63" s="2">
        <f>_Salesdata[[#This Row],[Unit_Price]] * _Salesdata[[#This Row],[Quantity_Sold]]</f>
        <v>4484.79</v>
      </c>
      <c r="P63" s="2">
        <f>_Salesdata[[#This Row],[Unit_Cost]] * _Salesdata[[#This Row],[Quantity_Sold]]</f>
        <v>3022.38</v>
      </c>
      <c r="Q63" s="2">
        <f>_Salesdata[[#This Row],[Gross_Sales]] - _Salesdata[[#This Row],[Total Cost]]</f>
        <v>1462.4099999999999</v>
      </c>
      <c r="R63" s="2"/>
    </row>
    <row r="64" spans="1:18" x14ac:dyDescent="0.25">
      <c r="A64">
        <v>1040</v>
      </c>
      <c r="B64" s="1">
        <v>44941</v>
      </c>
      <c r="C64" t="s">
        <v>35</v>
      </c>
      <c r="D64" t="s">
        <v>37</v>
      </c>
      <c r="E64" s="2">
        <v>8601.77</v>
      </c>
      <c r="F64">
        <v>19</v>
      </c>
      <c r="G64" t="s">
        <v>39</v>
      </c>
      <c r="H64" s="2">
        <v>342.3</v>
      </c>
      <c r="I64" s="2">
        <v>768.06</v>
      </c>
      <c r="J64" t="s">
        <v>20</v>
      </c>
      <c r="K64">
        <v>0.09</v>
      </c>
      <c r="L64" t="s">
        <v>28</v>
      </c>
      <c r="M64" t="s">
        <v>22</v>
      </c>
      <c r="N64" t="s">
        <v>38</v>
      </c>
      <c r="O64" s="2">
        <f>_Salesdata[[#This Row],[Unit_Price]] * _Salesdata[[#This Row],[Quantity_Sold]]</f>
        <v>14593.14</v>
      </c>
      <c r="P64" s="2">
        <f>_Salesdata[[#This Row],[Unit_Cost]] * _Salesdata[[#This Row],[Quantity_Sold]]</f>
        <v>6503.7</v>
      </c>
      <c r="Q64" s="2">
        <f>_Salesdata[[#This Row],[Gross_Sales]] - _Salesdata[[#This Row],[Total Cost]]</f>
        <v>8089.44</v>
      </c>
      <c r="R64" s="2"/>
    </row>
    <row r="65" spans="1:18" x14ac:dyDescent="0.25">
      <c r="A65">
        <v>1018</v>
      </c>
      <c r="B65" s="1">
        <v>45043</v>
      </c>
      <c r="C65" t="s">
        <v>30</v>
      </c>
      <c r="D65" t="s">
        <v>40</v>
      </c>
      <c r="E65" s="2">
        <v>7629.7</v>
      </c>
      <c r="F65">
        <v>17</v>
      </c>
      <c r="G65" t="s">
        <v>19</v>
      </c>
      <c r="H65" s="2">
        <v>355.72</v>
      </c>
      <c r="I65" s="2">
        <v>438.27</v>
      </c>
      <c r="J65" t="s">
        <v>20</v>
      </c>
      <c r="K65">
        <v>0.06</v>
      </c>
      <c r="L65" t="s">
        <v>44</v>
      </c>
      <c r="M65" t="s">
        <v>22</v>
      </c>
      <c r="N65" t="s">
        <v>41</v>
      </c>
      <c r="O65" s="2">
        <f>_Salesdata[[#This Row],[Unit_Price]] * _Salesdata[[#This Row],[Quantity_Sold]]</f>
        <v>7450.59</v>
      </c>
      <c r="P65" s="2">
        <f>_Salesdata[[#This Row],[Unit_Cost]] * _Salesdata[[#This Row],[Quantity_Sold]]</f>
        <v>6047.2400000000007</v>
      </c>
      <c r="Q65" s="2">
        <f>_Salesdata[[#This Row],[Gross_Sales]] - _Salesdata[[#This Row],[Total Cost]]</f>
        <v>1403.3499999999995</v>
      </c>
      <c r="R65" s="2"/>
    </row>
    <row r="66" spans="1:18" x14ac:dyDescent="0.25">
      <c r="A66">
        <v>1096</v>
      </c>
      <c r="B66" s="1">
        <v>45024</v>
      </c>
      <c r="C66" t="s">
        <v>35</v>
      </c>
      <c r="D66" t="s">
        <v>40</v>
      </c>
      <c r="E66" s="2">
        <v>5935.59</v>
      </c>
      <c r="F66">
        <v>45</v>
      </c>
      <c r="G66" t="s">
        <v>19</v>
      </c>
      <c r="H66" s="2">
        <v>357.92</v>
      </c>
      <c r="I66" s="2">
        <v>461.3</v>
      </c>
      <c r="J66" t="s">
        <v>20</v>
      </c>
      <c r="K66">
        <v>0.28000000000000003</v>
      </c>
      <c r="L66" t="s">
        <v>21</v>
      </c>
      <c r="M66" t="s">
        <v>22</v>
      </c>
      <c r="N66" t="s">
        <v>43</v>
      </c>
      <c r="O66" s="2">
        <f>_Salesdata[[#This Row],[Unit_Price]] * _Salesdata[[#This Row],[Quantity_Sold]]</f>
        <v>20758.5</v>
      </c>
      <c r="P66" s="2">
        <f>_Salesdata[[#This Row],[Unit_Cost]] * _Salesdata[[#This Row],[Quantity_Sold]]</f>
        <v>16106.400000000001</v>
      </c>
      <c r="Q66" s="2">
        <f>_Salesdata[[#This Row],[Gross_Sales]] - _Salesdata[[#This Row],[Total Cost]]</f>
        <v>4652.0999999999985</v>
      </c>
      <c r="R66" s="2"/>
    </row>
    <row r="67" spans="1:18" x14ac:dyDescent="0.25">
      <c r="A67">
        <v>1009</v>
      </c>
      <c r="B67" s="1">
        <v>45037</v>
      </c>
      <c r="C67" t="s">
        <v>48</v>
      </c>
      <c r="D67" t="s">
        <v>37</v>
      </c>
      <c r="E67" s="2">
        <v>9813.66</v>
      </c>
      <c r="F67">
        <v>47</v>
      </c>
      <c r="G67" t="s">
        <v>19</v>
      </c>
      <c r="H67" s="2">
        <v>359.41</v>
      </c>
      <c r="I67" s="2">
        <v>733</v>
      </c>
      <c r="J67" t="s">
        <v>20</v>
      </c>
      <c r="K67">
        <v>0.2</v>
      </c>
      <c r="L67" t="s">
        <v>44</v>
      </c>
      <c r="M67" t="s">
        <v>32</v>
      </c>
      <c r="N67" t="s">
        <v>52</v>
      </c>
      <c r="O67" s="2">
        <f>_Salesdata[[#This Row],[Unit_Price]] * _Salesdata[[#This Row],[Quantity_Sold]]</f>
        <v>34451</v>
      </c>
      <c r="P67" s="2">
        <f>_Salesdata[[#This Row],[Unit_Cost]] * _Salesdata[[#This Row],[Quantity_Sold]]</f>
        <v>16892.27</v>
      </c>
      <c r="Q67" s="2">
        <f>_Salesdata[[#This Row],[Gross_Sales]] - _Salesdata[[#This Row],[Total Cost]]</f>
        <v>17558.73</v>
      </c>
      <c r="R67" s="2"/>
    </row>
    <row r="68" spans="1:18" x14ac:dyDescent="0.25">
      <c r="A68">
        <v>1033</v>
      </c>
      <c r="B68" s="1">
        <v>44989</v>
      </c>
      <c r="C68" t="s">
        <v>17</v>
      </c>
      <c r="D68" t="s">
        <v>25</v>
      </c>
      <c r="E68" s="2">
        <v>8499.41</v>
      </c>
      <c r="F68">
        <v>14</v>
      </c>
      <c r="G68" t="s">
        <v>19</v>
      </c>
      <c r="H68" s="2">
        <v>362.38</v>
      </c>
      <c r="I68" s="2">
        <v>753.81</v>
      </c>
      <c r="J68" t="s">
        <v>20</v>
      </c>
      <c r="K68">
        <v>0.19</v>
      </c>
      <c r="L68" t="s">
        <v>21</v>
      </c>
      <c r="M68" t="s">
        <v>32</v>
      </c>
      <c r="N68" t="s">
        <v>34</v>
      </c>
      <c r="O68" s="2">
        <f>_Salesdata[[#This Row],[Unit_Price]] * _Salesdata[[#This Row],[Quantity_Sold]]</f>
        <v>10553.34</v>
      </c>
      <c r="P68" s="2">
        <f>_Salesdata[[#This Row],[Unit_Cost]] * _Salesdata[[#This Row],[Quantity_Sold]]</f>
        <v>5073.32</v>
      </c>
      <c r="Q68" s="2">
        <f>_Salesdata[[#This Row],[Gross_Sales]] - _Salesdata[[#This Row],[Total Cost]]</f>
        <v>5480.02</v>
      </c>
      <c r="R68" s="2"/>
    </row>
    <row r="69" spans="1:18" x14ac:dyDescent="0.25">
      <c r="A69">
        <v>1100</v>
      </c>
      <c r="B69" s="1">
        <v>45247</v>
      </c>
      <c r="C69" t="s">
        <v>17</v>
      </c>
      <c r="D69" t="s">
        <v>18</v>
      </c>
      <c r="E69" s="2">
        <v>7883.44</v>
      </c>
      <c r="F69">
        <v>13</v>
      </c>
      <c r="G69" t="s">
        <v>31</v>
      </c>
      <c r="H69" s="2">
        <v>366.2</v>
      </c>
      <c r="I69" s="2">
        <v>732.69</v>
      </c>
      <c r="J69" t="s">
        <v>27</v>
      </c>
      <c r="K69">
        <v>0.04</v>
      </c>
      <c r="L69" t="s">
        <v>21</v>
      </c>
      <c r="M69" t="s">
        <v>32</v>
      </c>
      <c r="N69" t="s">
        <v>23</v>
      </c>
      <c r="O69" s="2">
        <f>_Salesdata[[#This Row],[Unit_Price]] * _Salesdata[[#This Row],[Quantity_Sold]]</f>
        <v>9524.9700000000012</v>
      </c>
      <c r="P69" s="2">
        <f>_Salesdata[[#This Row],[Unit_Cost]] * _Salesdata[[#This Row],[Quantity_Sold]]</f>
        <v>4760.5999999999995</v>
      </c>
      <c r="Q69" s="2">
        <f>_Salesdata[[#This Row],[Gross_Sales]] - _Salesdata[[#This Row],[Total Cost]]</f>
        <v>4764.3700000000017</v>
      </c>
      <c r="R69" s="2"/>
    </row>
    <row r="70" spans="1:18" x14ac:dyDescent="0.25">
      <c r="A70">
        <v>1034</v>
      </c>
      <c r="B70" s="1">
        <v>44942</v>
      </c>
      <c r="C70" t="s">
        <v>24</v>
      </c>
      <c r="D70" t="s">
        <v>37</v>
      </c>
      <c r="E70" s="2">
        <v>1937.9</v>
      </c>
      <c r="F70">
        <v>13</v>
      </c>
      <c r="G70" t="s">
        <v>39</v>
      </c>
      <c r="H70" s="2">
        <v>366.31</v>
      </c>
      <c r="I70" s="2">
        <v>492.68</v>
      </c>
      <c r="J70" t="s">
        <v>27</v>
      </c>
      <c r="K70">
        <v>0.12</v>
      </c>
      <c r="L70" t="s">
        <v>28</v>
      </c>
      <c r="M70" t="s">
        <v>32</v>
      </c>
      <c r="N70" t="s">
        <v>53</v>
      </c>
      <c r="O70" s="2">
        <f>_Salesdata[[#This Row],[Unit_Price]] * _Salesdata[[#This Row],[Quantity_Sold]]</f>
        <v>6404.84</v>
      </c>
      <c r="P70" s="2">
        <f>_Salesdata[[#This Row],[Unit_Cost]] * _Salesdata[[#This Row],[Quantity_Sold]]</f>
        <v>4762.03</v>
      </c>
      <c r="Q70" s="2">
        <f>_Salesdata[[#This Row],[Gross_Sales]] - _Salesdata[[#This Row],[Total Cost]]</f>
        <v>1642.8100000000004</v>
      </c>
      <c r="R70" s="2"/>
    </row>
    <row r="71" spans="1:18" x14ac:dyDescent="0.25">
      <c r="A71">
        <v>1047</v>
      </c>
      <c r="B71" s="1">
        <v>45196</v>
      </c>
      <c r="C71" t="s">
        <v>48</v>
      </c>
      <c r="D71" t="s">
        <v>37</v>
      </c>
      <c r="E71" s="2">
        <v>8657.89</v>
      </c>
      <c r="F71">
        <v>32</v>
      </c>
      <c r="G71" t="s">
        <v>26</v>
      </c>
      <c r="H71" s="2">
        <v>367.98</v>
      </c>
      <c r="I71" s="2">
        <v>806.14</v>
      </c>
      <c r="J71" t="s">
        <v>20</v>
      </c>
      <c r="K71">
        <v>0.22</v>
      </c>
      <c r="L71" t="s">
        <v>28</v>
      </c>
      <c r="M71" t="s">
        <v>32</v>
      </c>
      <c r="N71" t="s">
        <v>52</v>
      </c>
      <c r="O71" s="2">
        <f>_Salesdata[[#This Row],[Unit_Price]] * _Salesdata[[#This Row],[Quantity_Sold]]</f>
        <v>25796.48</v>
      </c>
      <c r="P71" s="2">
        <f>_Salesdata[[#This Row],[Unit_Cost]] * _Salesdata[[#This Row],[Quantity_Sold]]</f>
        <v>11775.36</v>
      </c>
      <c r="Q71" s="2">
        <f>_Salesdata[[#This Row],[Gross_Sales]] - _Salesdata[[#This Row],[Total Cost]]</f>
        <v>14021.119999999999</v>
      </c>
      <c r="R71" s="2"/>
    </row>
    <row r="72" spans="1:18" x14ac:dyDescent="0.25">
      <c r="A72">
        <v>1039</v>
      </c>
      <c r="B72" s="1">
        <v>45025</v>
      </c>
      <c r="C72" t="s">
        <v>24</v>
      </c>
      <c r="D72" t="s">
        <v>37</v>
      </c>
      <c r="E72" s="2">
        <v>763.04</v>
      </c>
      <c r="F72">
        <v>3</v>
      </c>
      <c r="G72" t="s">
        <v>31</v>
      </c>
      <c r="H72" s="2">
        <v>391.19</v>
      </c>
      <c r="I72" s="2">
        <v>471.75</v>
      </c>
      <c r="J72" t="s">
        <v>20</v>
      </c>
      <c r="K72">
        <v>0.27</v>
      </c>
      <c r="L72" t="s">
        <v>21</v>
      </c>
      <c r="M72" t="s">
        <v>22</v>
      </c>
      <c r="N72" t="s">
        <v>53</v>
      </c>
      <c r="O72" s="2">
        <f>_Salesdata[[#This Row],[Unit_Price]] * _Salesdata[[#This Row],[Quantity_Sold]]</f>
        <v>1415.25</v>
      </c>
      <c r="P72" s="2">
        <f>_Salesdata[[#This Row],[Unit_Cost]] * _Salesdata[[#This Row],[Quantity_Sold]]</f>
        <v>1173.57</v>
      </c>
      <c r="Q72" s="2">
        <f>_Salesdata[[#This Row],[Gross_Sales]] - _Salesdata[[#This Row],[Total Cost]]</f>
        <v>241.68000000000006</v>
      </c>
      <c r="R72" s="2"/>
    </row>
    <row r="73" spans="1:18" x14ac:dyDescent="0.25">
      <c r="A73">
        <v>1003</v>
      </c>
      <c r="B73" s="1">
        <v>45290</v>
      </c>
      <c r="C73" t="s">
        <v>24</v>
      </c>
      <c r="D73" t="s">
        <v>18</v>
      </c>
      <c r="E73" s="2">
        <v>640.88</v>
      </c>
      <c r="F73">
        <v>17</v>
      </c>
      <c r="G73" t="s">
        <v>39</v>
      </c>
      <c r="H73" s="2">
        <v>395.11</v>
      </c>
      <c r="I73" s="2">
        <v>676.66</v>
      </c>
      <c r="J73" t="s">
        <v>20</v>
      </c>
      <c r="K73">
        <v>0.25</v>
      </c>
      <c r="L73" t="s">
        <v>21</v>
      </c>
      <c r="M73" t="s">
        <v>32</v>
      </c>
      <c r="N73" t="s">
        <v>46</v>
      </c>
      <c r="O73" s="2">
        <f>_Salesdata[[#This Row],[Unit_Price]] * _Salesdata[[#This Row],[Quantity_Sold]]</f>
        <v>11503.22</v>
      </c>
      <c r="P73" s="2">
        <f>_Salesdata[[#This Row],[Unit_Cost]] * _Salesdata[[#This Row],[Quantity_Sold]]</f>
        <v>6716.87</v>
      </c>
      <c r="Q73" s="2">
        <f>_Salesdata[[#This Row],[Gross_Sales]] - _Salesdata[[#This Row],[Total Cost]]</f>
        <v>4786.3499999999995</v>
      </c>
      <c r="R73" s="2"/>
    </row>
    <row r="74" spans="1:18" x14ac:dyDescent="0.25">
      <c r="A74">
        <v>1038</v>
      </c>
      <c r="B74" s="1">
        <v>44998</v>
      </c>
      <c r="C74" t="s">
        <v>30</v>
      </c>
      <c r="D74" t="s">
        <v>37</v>
      </c>
      <c r="E74" s="2">
        <v>763.46</v>
      </c>
      <c r="F74">
        <v>9</v>
      </c>
      <c r="G74" t="s">
        <v>19</v>
      </c>
      <c r="H74" s="2">
        <v>400.42</v>
      </c>
      <c r="I74" s="2">
        <v>446.11</v>
      </c>
      <c r="J74" t="s">
        <v>27</v>
      </c>
      <c r="K74">
        <v>0.01</v>
      </c>
      <c r="L74" t="s">
        <v>44</v>
      </c>
      <c r="M74" t="s">
        <v>32</v>
      </c>
      <c r="N74" t="s">
        <v>51</v>
      </c>
      <c r="O74" s="2">
        <f>_Salesdata[[#This Row],[Unit_Price]] * _Salesdata[[#This Row],[Quantity_Sold]]</f>
        <v>4014.9900000000002</v>
      </c>
      <c r="P74" s="2">
        <f>_Salesdata[[#This Row],[Unit_Cost]] * _Salesdata[[#This Row],[Quantity_Sold]]</f>
        <v>3603.78</v>
      </c>
      <c r="Q74" s="2">
        <f>_Salesdata[[#This Row],[Gross_Sales]] - _Salesdata[[#This Row],[Total Cost]]</f>
        <v>411.21000000000004</v>
      </c>
      <c r="R74" s="2"/>
    </row>
    <row r="75" spans="1:18" x14ac:dyDescent="0.25">
      <c r="A75">
        <v>1093</v>
      </c>
      <c r="B75" s="1">
        <v>45231</v>
      </c>
      <c r="C75" t="s">
        <v>35</v>
      </c>
      <c r="D75" t="s">
        <v>37</v>
      </c>
      <c r="E75" s="2">
        <v>664.09</v>
      </c>
      <c r="F75">
        <v>46</v>
      </c>
      <c r="G75" t="s">
        <v>19</v>
      </c>
      <c r="H75" s="2">
        <v>401.64</v>
      </c>
      <c r="I75" s="2">
        <v>757.26</v>
      </c>
      <c r="J75" t="s">
        <v>27</v>
      </c>
      <c r="K75">
        <v>0.21</v>
      </c>
      <c r="L75" t="s">
        <v>28</v>
      </c>
      <c r="M75" t="s">
        <v>32</v>
      </c>
      <c r="N75" t="s">
        <v>38</v>
      </c>
      <c r="O75" s="2">
        <f>_Salesdata[[#This Row],[Unit_Price]] * _Salesdata[[#This Row],[Quantity_Sold]]</f>
        <v>34833.96</v>
      </c>
      <c r="P75" s="2">
        <f>_Salesdata[[#This Row],[Unit_Cost]] * _Salesdata[[#This Row],[Quantity_Sold]]</f>
        <v>18475.439999999999</v>
      </c>
      <c r="Q75" s="2">
        <f>_Salesdata[[#This Row],[Gross_Sales]] - _Salesdata[[#This Row],[Total Cost]]</f>
        <v>16358.52</v>
      </c>
      <c r="R75" s="2"/>
    </row>
    <row r="76" spans="1:18" x14ac:dyDescent="0.25">
      <c r="A76">
        <v>1095</v>
      </c>
      <c r="B76" s="1">
        <v>45255</v>
      </c>
      <c r="C76" t="s">
        <v>24</v>
      </c>
      <c r="D76" t="s">
        <v>18</v>
      </c>
      <c r="E76" s="2">
        <v>9432.9699999999993</v>
      </c>
      <c r="F76">
        <v>37</v>
      </c>
      <c r="G76" t="s">
        <v>26</v>
      </c>
      <c r="H76" s="2">
        <v>407.77</v>
      </c>
      <c r="I76" s="2">
        <v>860.95</v>
      </c>
      <c r="J76" t="s">
        <v>27</v>
      </c>
      <c r="K76">
        <v>0.1</v>
      </c>
      <c r="L76" t="s">
        <v>28</v>
      </c>
      <c r="M76" t="s">
        <v>32</v>
      </c>
      <c r="N76" t="s">
        <v>46</v>
      </c>
      <c r="O76" s="2">
        <f>_Salesdata[[#This Row],[Unit_Price]] * _Salesdata[[#This Row],[Quantity_Sold]]</f>
        <v>31855.15</v>
      </c>
      <c r="P76" s="2">
        <f>_Salesdata[[#This Row],[Unit_Cost]] * _Salesdata[[#This Row],[Quantity_Sold]]</f>
        <v>15087.49</v>
      </c>
      <c r="Q76" s="2">
        <f>_Salesdata[[#This Row],[Gross_Sales]] - _Salesdata[[#This Row],[Total Cost]]</f>
        <v>16767.660000000003</v>
      </c>
      <c r="R76" s="2"/>
    </row>
    <row r="77" spans="1:18" x14ac:dyDescent="0.25">
      <c r="A77">
        <v>1052</v>
      </c>
      <c r="B77" s="1">
        <v>45125</v>
      </c>
      <c r="C77" t="s">
        <v>48</v>
      </c>
      <c r="D77" t="s">
        <v>40</v>
      </c>
      <c r="E77" s="2">
        <v>6675.77</v>
      </c>
      <c r="F77">
        <v>42</v>
      </c>
      <c r="G77" t="s">
        <v>26</v>
      </c>
      <c r="H77" s="2">
        <v>417.96</v>
      </c>
      <c r="I77" s="2">
        <v>907.63</v>
      </c>
      <c r="J77" t="s">
        <v>27</v>
      </c>
      <c r="K77">
        <v>0.04</v>
      </c>
      <c r="L77" t="s">
        <v>21</v>
      </c>
      <c r="M77" t="s">
        <v>32</v>
      </c>
      <c r="N77" t="s">
        <v>50</v>
      </c>
      <c r="O77" s="2">
        <f>_Salesdata[[#This Row],[Unit_Price]] * _Salesdata[[#This Row],[Quantity_Sold]]</f>
        <v>38120.46</v>
      </c>
      <c r="P77" s="2">
        <f>_Salesdata[[#This Row],[Unit_Cost]] * _Salesdata[[#This Row],[Quantity_Sold]]</f>
        <v>17554.32</v>
      </c>
      <c r="Q77" s="2">
        <f>_Salesdata[[#This Row],[Gross_Sales]] - _Salesdata[[#This Row],[Total Cost]]</f>
        <v>20566.14</v>
      </c>
      <c r="R77" s="2"/>
    </row>
    <row r="78" spans="1:18" x14ac:dyDescent="0.25">
      <c r="A78">
        <v>1064</v>
      </c>
      <c r="B78" s="1">
        <v>45148</v>
      </c>
      <c r="C78" t="s">
        <v>17</v>
      </c>
      <c r="D78" t="s">
        <v>40</v>
      </c>
      <c r="E78" s="2">
        <v>322.02</v>
      </c>
      <c r="F78">
        <v>5</v>
      </c>
      <c r="G78" t="s">
        <v>31</v>
      </c>
      <c r="H78" s="2">
        <v>421.05</v>
      </c>
      <c r="I78" s="2">
        <v>488.23</v>
      </c>
      <c r="J78" t="s">
        <v>20</v>
      </c>
      <c r="K78">
        <v>7.0000000000000007E-2</v>
      </c>
      <c r="L78" t="s">
        <v>28</v>
      </c>
      <c r="M78" t="s">
        <v>32</v>
      </c>
      <c r="N78" t="s">
        <v>42</v>
      </c>
      <c r="O78" s="2">
        <f>_Salesdata[[#This Row],[Unit_Price]] * _Salesdata[[#This Row],[Quantity_Sold]]</f>
        <v>2441.15</v>
      </c>
      <c r="P78" s="2">
        <f>_Salesdata[[#This Row],[Unit_Cost]] * _Salesdata[[#This Row],[Quantity_Sold]]</f>
        <v>2105.25</v>
      </c>
      <c r="Q78" s="2">
        <f>_Salesdata[[#This Row],[Gross_Sales]] - _Salesdata[[#This Row],[Total Cost]]</f>
        <v>335.90000000000009</v>
      </c>
      <c r="R78" s="2"/>
    </row>
    <row r="79" spans="1:18" x14ac:dyDescent="0.25">
      <c r="A79">
        <v>1092</v>
      </c>
      <c r="B79" s="1">
        <v>45263</v>
      </c>
      <c r="C79" t="s">
        <v>30</v>
      </c>
      <c r="D79" t="s">
        <v>18</v>
      </c>
      <c r="E79" s="2">
        <v>719.01</v>
      </c>
      <c r="F79">
        <v>6</v>
      </c>
      <c r="G79" t="s">
        <v>19</v>
      </c>
      <c r="H79" s="2">
        <v>422.74</v>
      </c>
      <c r="I79" s="2">
        <v>737.49</v>
      </c>
      <c r="J79" t="s">
        <v>20</v>
      </c>
      <c r="K79">
        <v>0.19</v>
      </c>
      <c r="L79" t="s">
        <v>28</v>
      </c>
      <c r="M79" t="s">
        <v>32</v>
      </c>
      <c r="N79" t="s">
        <v>33</v>
      </c>
      <c r="O79" s="2">
        <f>_Salesdata[[#This Row],[Unit_Price]] * _Salesdata[[#This Row],[Quantity_Sold]]</f>
        <v>4424.9400000000005</v>
      </c>
      <c r="P79" s="2">
        <f>_Salesdata[[#This Row],[Unit_Cost]] * _Salesdata[[#This Row],[Quantity_Sold]]</f>
        <v>2536.44</v>
      </c>
      <c r="Q79" s="2">
        <f>_Salesdata[[#This Row],[Gross_Sales]] - _Salesdata[[#This Row],[Total Cost]]</f>
        <v>1888.5000000000005</v>
      </c>
      <c r="R79" s="2"/>
    </row>
    <row r="80" spans="1:18" x14ac:dyDescent="0.25">
      <c r="A80">
        <v>1044</v>
      </c>
      <c r="B80" s="1">
        <v>45146</v>
      </c>
      <c r="C80" t="s">
        <v>24</v>
      </c>
      <c r="D80" t="s">
        <v>37</v>
      </c>
      <c r="E80" s="2">
        <v>4912.6899999999996</v>
      </c>
      <c r="F80">
        <v>18</v>
      </c>
      <c r="G80" t="s">
        <v>19</v>
      </c>
      <c r="H80" s="2">
        <v>430.14</v>
      </c>
      <c r="I80" s="2">
        <v>641.17999999999995</v>
      </c>
      <c r="J80" t="s">
        <v>27</v>
      </c>
      <c r="K80">
        <v>0.13</v>
      </c>
      <c r="L80" t="s">
        <v>21</v>
      </c>
      <c r="M80" t="s">
        <v>22</v>
      </c>
      <c r="N80" t="s">
        <v>53</v>
      </c>
      <c r="O80" s="2">
        <f>_Salesdata[[#This Row],[Unit_Price]] * _Salesdata[[#This Row],[Quantity_Sold]]</f>
        <v>11541.24</v>
      </c>
      <c r="P80" s="2">
        <f>_Salesdata[[#This Row],[Unit_Cost]] * _Salesdata[[#This Row],[Quantity_Sold]]</f>
        <v>7742.5199999999995</v>
      </c>
      <c r="Q80" s="2">
        <f>_Salesdata[[#This Row],[Gross_Sales]] - _Salesdata[[#This Row],[Total Cost]]</f>
        <v>3798.7200000000003</v>
      </c>
      <c r="R80" s="2"/>
    </row>
    <row r="81" spans="1:18" x14ac:dyDescent="0.25">
      <c r="A81">
        <v>1014</v>
      </c>
      <c r="B81" s="1">
        <v>45154</v>
      </c>
      <c r="C81" t="s">
        <v>30</v>
      </c>
      <c r="D81" t="s">
        <v>40</v>
      </c>
      <c r="E81" s="2">
        <v>8983.92</v>
      </c>
      <c r="F81">
        <v>26</v>
      </c>
      <c r="G81" t="s">
        <v>39</v>
      </c>
      <c r="H81" s="2">
        <v>433.19</v>
      </c>
      <c r="I81" s="2">
        <v>800.6</v>
      </c>
      <c r="J81" t="s">
        <v>20</v>
      </c>
      <c r="K81">
        <v>0.2</v>
      </c>
      <c r="L81" t="s">
        <v>21</v>
      </c>
      <c r="M81" t="s">
        <v>22</v>
      </c>
      <c r="N81" t="s">
        <v>41</v>
      </c>
      <c r="O81" s="2">
        <f>_Salesdata[[#This Row],[Unit_Price]] * _Salesdata[[#This Row],[Quantity_Sold]]</f>
        <v>20815.600000000002</v>
      </c>
      <c r="P81" s="2">
        <f>_Salesdata[[#This Row],[Unit_Cost]] * _Salesdata[[#This Row],[Quantity_Sold]]</f>
        <v>11262.94</v>
      </c>
      <c r="Q81" s="2">
        <f>_Salesdata[[#This Row],[Gross_Sales]] - _Salesdata[[#This Row],[Total Cost]]</f>
        <v>9552.6600000000017</v>
      </c>
      <c r="R81" s="2"/>
    </row>
    <row r="82" spans="1:18" x14ac:dyDescent="0.25">
      <c r="A82">
        <v>1015</v>
      </c>
      <c r="B82" s="1">
        <v>45145</v>
      </c>
      <c r="C82" t="s">
        <v>24</v>
      </c>
      <c r="D82" t="s">
        <v>18</v>
      </c>
      <c r="E82" s="2">
        <v>1148.47</v>
      </c>
      <c r="F82">
        <v>19</v>
      </c>
      <c r="G82" t="s">
        <v>19</v>
      </c>
      <c r="H82" s="2">
        <v>433.54</v>
      </c>
      <c r="I82" s="2">
        <v>445.48</v>
      </c>
      <c r="J82" t="s">
        <v>27</v>
      </c>
      <c r="K82">
        <v>0.28999999999999998</v>
      </c>
      <c r="L82" t="s">
        <v>44</v>
      </c>
      <c r="M82" t="s">
        <v>32</v>
      </c>
      <c r="N82" t="s">
        <v>46</v>
      </c>
      <c r="O82" s="2">
        <f>_Salesdata[[#This Row],[Unit_Price]] * _Salesdata[[#This Row],[Quantity_Sold]]</f>
        <v>8464.1200000000008</v>
      </c>
      <c r="P82" s="2">
        <f>_Salesdata[[#This Row],[Unit_Cost]] * _Salesdata[[#This Row],[Quantity_Sold]]</f>
        <v>8237.26</v>
      </c>
      <c r="Q82" s="2">
        <f>_Salesdata[[#This Row],[Gross_Sales]] - _Salesdata[[#This Row],[Total Cost]]</f>
        <v>226.86000000000058</v>
      </c>
      <c r="R82" s="2"/>
    </row>
    <row r="83" spans="1:18" x14ac:dyDescent="0.25">
      <c r="A83">
        <v>1079</v>
      </c>
      <c r="B83" s="1">
        <v>45099</v>
      </c>
      <c r="C83" t="s">
        <v>48</v>
      </c>
      <c r="D83" t="s">
        <v>18</v>
      </c>
      <c r="E83" s="2">
        <v>2265.23</v>
      </c>
      <c r="F83">
        <v>49</v>
      </c>
      <c r="G83" t="s">
        <v>19</v>
      </c>
      <c r="H83" s="2">
        <v>437.59</v>
      </c>
      <c r="I83" s="2">
        <v>675.54</v>
      </c>
      <c r="J83" t="s">
        <v>20</v>
      </c>
      <c r="K83">
        <v>0.1</v>
      </c>
      <c r="L83" t="s">
        <v>21</v>
      </c>
      <c r="M83" t="s">
        <v>22</v>
      </c>
      <c r="N83" t="s">
        <v>54</v>
      </c>
      <c r="O83" s="2">
        <f>_Salesdata[[#This Row],[Unit_Price]] * _Salesdata[[#This Row],[Quantity_Sold]]</f>
        <v>33101.46</v>
      </c>
      <c r="P83" s="2">
        <f>_Salesdata[[#This Row],[Unit_Cost]] * _Salesdata[[#This Row],[Quantity_Sold]]</f>
        <v>21441.91</v>
      </c>
      <c r="Q83" s="2">
        <f>_Salesdata[[#This Row],[Gross_Sales]] - _Salesdata[[#This Row],[Total Cost]]</f>
        <v>11659.55</v>
      </c>
      <c r="R83" s="2"/>
    </row>
    <row r="84" spans="1:18" x14ac:dyDescent="0.25">
      <c r="A84">
        <v>1001</v>
      </c>
      <c r="B84" s="1">
        <v>45057</v>
      </c>
      <c r="C84" t="s">
        <v>48</v>
      </c>
      <c r="D84" t="s">
        <v>18</v>
      </c>
      <c r="E84" s="2">
        <v>5262.35</v>
      </c>
      <c r="F84">
        <v>8</v>
      </c>
      <c r="G84" t="s">
        <v>19</v>
      </c>
      <c r="H84" s="2">
        <v>442.11</v>
      </c>
      <c r="I84" s="2">
        <v>803.87</v>
      </c>
      <c r="J84" t="s">
        <v>27</v>
      </c>
      <c r="K84">
        <v>0.18</v>
      </c>
      <c r="L84" t="s">
        <v>21</v>
      </c>
      <c r="M84" t="s">
        <v>32</v>
      </c>
      <c r="N84" t="s">
        <v>54</v>
      </c>
      <c r="O84" s="2">
        <f>_Salesdata[[#This Row],[Unit_Price]] * _Salesdata[[#This Row],[Quantity_Sold]]</f>
        <v>6430.96</v>
      </c>
      <c r="P84" s="2">
        <f>_Salesdata[[#This Row],[Unit_Cost]] * _Salesdata[[#This Row],[Quantity_Sold]]</f>
        <v>3536.88</v>
      </c>
      <c r="Q84" s="2">
        <f>_Salesdata[[#This Row],[Gross_Sales]] - _Salesdata[[#This Row],[Total Cost]]</f>
        <v>2894.08</v>
      </c>
      <c r="R84" s="2"/>
    </row>
    <row r="85" spans="1:18" x14ac:dyDescent="0.25">
      <c r="A85">
        <v>1021</v>
      </c>
      <c r="B85" s="1">
        <v>45165</v>
      </c>
      <c r="C85" t="s">
        <v>48</v>
      </c>
      <c r="D85" t="s">
        <v>37</v>
      </c>
      <c r="E85" s="2">
        <v>671.55</v>
      </c>
      <c r="F85">
        <v>19</v>
      </c>
      <c r="G85" t="s">
        <v>19</v>
      </c>
      <c r="H85" s="2">
        <v>444.05</v>
      </c>
      <c r="I85" s="2">
        <v>584.44000000000005</v>
      </c>
      <c r="J85" t="s">
        <v>20</v>
      </c>
      <c r="K85">
        <v>0.28000000000000003</v>
      </c>
      <c r="L85" t="s">
        <v>21</v>
      </c>
      <c r="M85" t="s">
        <v>32</v>
      </c>
      <c r="N85" t="s">
        <v>52</v>
      </c>
      <c r="O85" s="2">
        <f>_Salesdata[[#This Row],[Unit_Price]] * _Salesdata[[#This Row],[Quantity_Sold]]</f>
        <v>11104.36</v>
      </c>
      <c r="P85" s="2">
        <f>_Salesdata[[#This Row],[Unit_Cost]] * _Salesdata[[#This Row],[Quantity_Sold]]</f>
        <v>8436.9500000000007</v>
      </c>
      <c r="Q85" s="2">
        <f>_Salesdata[[#This Row],[Gross_Sales]] - _Salesdata[[#This Row],[Total Cost]]</f>
        <v>2667.41</v>
      </c>
      <c r="R85" s="2"/>
    </row>
    <row r="86" spans="1:18" x14ac:dyDescent="0.25">
      <c r="A86">
        <v>1009</v>
      </c>
      <c r="B86" s="1">
        <v>45155</v>
      </c>
      <c r="C86" t="s">
        <v>17</v>
      </c>
      <c r="D86" t="s">
        <v>25</v>
      </c>
      <c r="E86" s="2">
        <v>8912.4</v>
      </c>
      <c r="F86">
        <v>33</v>
      </c>
      <c r="G86" t="s">
        <v>19</v>
      </c>
      <c r="H86" s="2">
        <v>450.72</v>
      </c>
      <c r="I86" s="2">
        <v>918.17</v>
      </c>
      <c r="J86" t="s">
        <v>20</v>
      </c>
      <c r="K86">
        <v>0.11</v>
      </c>
      <c r="L86" t="s">
        <v>21</v>
      </c>
      <c r="M86" t="s">
        <v>22</v>
      </c>
      <c r="N86" t="s">
        <v>34</v>
      </c>
      <c r="O86" s="2">
        <f>_Salesdata[[#This Row],[Unit_Price]] * _Salesdata[[#This Row],[Quantity_Sold]]</f>
        <v>30299.609999999997</v>
      </c>
      <c r="P86" s="2">
        <f>_Salesdata[[#This Row],[Unit_Cost]] * _Salesdata[[#This Row],[Quantity_Sold]]</f>
        <v>14873.76</v>
      </c>
      <c r="Q86" s="2">
        <f>_Salesdata[[#This Row],[Gross_Sales]] - _Salesdata[[#This Row],[Total Cost]]</f>
        <v>15425.849999999997</v>
      </c>
      <c r="R86" s="2"/>
    </row>
    <row r="87" spans="1:18" x14ac:dyDescent="0.25">
      <c r="A87">
        <v>1084</v>
      </c>
      <c r="B87" s="1">
        <v>44976</v>
      </c>
      <c r="C87" t="s">
        <v>30</v>
      </c>
      <c r="D87" t="s">
        <v>25</v>
      </c>
      <c r="E87" s="2">
        <v>2154.66</v>
      </c>
      <c r="F87">
        <v>35</v>
      </c>
      <c r="G87" t="s">
        <v>31</v>
      </c>
      <c r="H87" s="2">
        <v>465.61</v>
      </c>
      <c r="I87" s="2">
        <v>812.91</v>
      </c>
      <c r="J87" t="s">
        <v>27</v>
      </c>
      <c r="K87">
        <v>0.16</v>
      </c>
      <c r="L87" t="s">
        <v>44</v>
      </c>
      <c r="M87" t="s">
        <v>22</v>
      </c>
      <c r="N87" t="s">
        <v>45</v>
      </c>
      <c r="O87" s="2">
        <f>_Salesdata[[#This Row],[Unit_Price]] * _Salesdata[[#This Row],[Quantity_Sold]]</f>
        <v>28451.85</v>
      </c>
      <c r="P87" s="2">
        <f>_Salesdata[[#This Row],[Unit_Cost]] * _Salesdata[[#This Row],[Quantity_Sold]]</f>
        <v>16296.35</v>
      </c>
      <c r="Q87" s="2">
        <f>_Salesdata[[#This Row],[Gross_Sales]] - _Salesdata[[#This Row],[Total Cost]]</f>
        <v>12155.499999999998</v>
      </c>
      <c r="R87" s="2"/>
    </row>
    <row r="88" spans="1:18" x14ac:dyDescent="0.25">
      <c r="A88">
        <v>1051</v>
      </c>
      <c r="B88" s="1">
        <v>45272</v>
      </c>
      <c r="C88" t="s">
        <v>48</v>
      </c>
      <c r="D88" t="s">
        <v>37</v>
      </c>
      <c r="E88" s="2">
        <v>2479.9499999999998</v>
      </c>
      <c r="F88">
        <v>8</v>
      </c>
      <c r="G88" t="s">
        <v>19</v>
      </c>
      <c r="H88" s="2">
        <v>467.11</v>
      </c>
      <c r="I88" s="2">
        <v>792.21</v>
      </c>
      <c r="J88" t="s">
        <v>27</v>
      </c>
      <c r="K88">
        <v>0.2</v>
      </c>
      <c r="L88" t="s">
        <v>28</v>
      </c>
      <c r="M88" t="s">
        <v>22</v>
      </c>
      <c r="N88" t="s">
        <v>52</v>
      </c>
      <c r="O88" s="2">
        <f>_Salesdata[[#This Row],[Unit_Price]] * _Salesdata[[#This Row],[Quantity_Sold]]</f>
        <v>6337.68</v>
      </c>
      <c r="P88" s="2">
        <f>_Salesdata[[#This Row],[Unit_Cost]] * _Salesdata[[#This Row],[Quantity_Sold]]</f>
        <v>3736.88</v>
      </c>
      <c r="Q88" s="2">
        <f>_Salesdata[[#This Row],[Gross_Sales]] - _Salesdata[[#This Row],[Total Cost]]</f>
        <v>2600.8000000000002</v>
      </c>
      <c r="R88" s="2"/>
    </row>
    <row r="89" spans="1:18" x14ac:dyDescent="0.25">
      <c r="A89">
        <v>1085</v>
      </c>
      <c r="B89" s="1">
        <v>44933</v>
      </c>
      <c r="C89" t="s">
        <v>48</v>
      </c>
      <c r="D89" t="s">
        <v>25</v>
      </c>
      <c r="E89" s="2">
        <v>2719.89</v>
      </c>
      <c r="F89">
        <v>16</v>
      </c>
      <c r="G89" t="s">
        <v>31</v>
      </c>
      <c r="H89" s="2">
        <v>472.08</v>
      </c>
      <c r="I89" s="2">
        <v>842.46</v>
      </c>
      <c r="J89" t="s">
        <v>27</v>
      </c>
      <c r="K89">
        <v>0</v>
      </c>
      <c r="L89" t="s">
        <v>21</v>
      </c>
      <c r="M89" t="s">
        <v>32</v>
      </c>
      <c r="N89" t="s">
        <v>49</v>
      </c>
      <c r="O89" s="2">
        <f>_Salesdata[[#This Row],[Unit_Price]] * _Salesdata[[#This Row],[Quantity_Sold]]</f>
        <v>13479.36</v>
      </c>
      <c r="P89" s="2">
        <f>_Salesdata[[#This Row],[Unit_Cost]] * _Salesdata[[#This Row],[Quantity_Sold]]</f>
        <v>7553.28</v>
      </c>
      <c r="Q89" s="2">
        <f>_Salesdata[[#This Row],[Gross_Sales]] - _Salesdata[[#This Row],[Total Cost]]</f>
        <v>5926.0800000000008</v>
      </c>
      <c r="R89" s="2"/>
    </row>
    <row r="90" spans="1:18" x14ac:dyDescent="0.25">
      <c r="A90">
        <v>1022</v>
      </c>
      <c r="B90" s="1">
        <v>45254</v>
      </c>
      <c r="C90" t="s">
        <v>48</v>
      </c>
      <c r="D90" t="s">
        <v>25</v>
      </c>
      <c r="E90" s="2">
        <v>8906.24</v>
      </c>
      <c r="F90">
        <v>29</v>
      </c>
      <c r="G90" t="s">
        <v>39</v>
      </c>
      <c r="H90" s="2">
        <v>479.58</v>
      </c>
      <c r="I90" s="2">
        <v>909.88</v>
      </c>
      <c r="J90" t="s">
        <v>20</v>
      </c>
      <c r="K90">
        <v>0.13</v>
      </c>
      <c r="L90" t="s">
        <v>28</v>
      </c>
      <c r="M90" t="s">
        <v>32</v>
      </c>
      <c r="N90" t="s">
        <v>49</v>
      </c>
      <c r="O90" s="2">
        <f>_Salesdata[[#This Row],[Unit_Price]] * _Salesdata[[#This Row],[Quantity_Sold]]</f>
        <v>26386.52</v>
      </c>
      <c r="P90" s="2">
        <f>_Salesdata[[#This Row],[Unit_Cost]] * _Salesdata[[#This Row],[Quantity_Sold]]</f>
        <v>13907.82</v>
      </c>
      <c r="Q90" s="2">
        <f>_Salesdata[[#This Row],[Gross_Sales]] - _Salesdata[[#This Row],[Total Cost]]</f>
        <v>12478.7</v>
      </c>
      <c r="R90" s="2"/>
    </row>
    <row r="91" spans="1:18" x14ac:dyDescent="0.25">
      <c r="A91">
        <v>1087</v>
      </c>
      <c r="B91" s="1">
        <v>45021</v>
      </c>
      <c r="C91" t="s">
        <v>48</v>
      </c>
      <c r="D91" t="s">
        <v>18</v>
      </c>
      <c r="E91" s="2">
        <v>848.49</v>
      </c>
      <c r="F91">
        <v>43</v>
      </c>
      <c r="G91" t="s">
        <v>39</v>
      </c>
      <c r="H91" s="2">
        <v>481</v>
      </c>
      <c r="I91" s="2">
        <v>531.02</v>
      </c>
      <c r="J91" t="s">
        <v>27</v>
      </c>
      <c r="K91">
        <v>0.17</v>
      </c>
      <c r="L91" t="s">
        <v>21</v>
      </c>
      <c r="M91" t="s">
        <v>22</v>
      </c>
      <c r="N91" t="s">
        <v>54</v>
      </c>
      <c r="O91" s="2">
        <f>_Salesdata[[#This Row],[Unit_Price]] * _Salesdata[[#This Row],[Quantity_Sold]]</f>
        <v>22833.86</v>
      </c>
      <c r="P91" s="2">
        <f>_Salesdata[[#This Row],[Unit_Cost]] * _Salesdata[[#This Row],[Quantity_Sold]]</f>
        <v>20683</v>
      </c>
      <c r="Q91" s="2">
        <f>_Salesdata[[#This Row],[Gross_Sales]] - _Salesdata[[#This Row],[Total Cost]]</f>
        <v>2150.8600000000006</v>
      </c>
      <c r="R91" s="2"/>
    </row>
    <row r="92" spans="1:18" x14ac:dyDescent="0.25">
      <c r="A92">
        <v>1072</v>
      </c>
      <c r="B92" s="1">
        <v>45254</v>
      </c>
      <c r="C92" t="s">
        <v>24</v>
      </c>
      <c r="D92" t="s">
        <v>18</v>
      </c>
      <c r="E92" s="2">
        <v>5511.11</v>
      </c>
      <c r="F92">
        <v>25</v>
      </c>
      <c r="G92" t="s">
        <v>19</v>
      </c>
      <c r="H92" s="2">
        <v>481.19</v>
      </c>
      <c r="I92" s="2">
        <v>693.4</v>
      </c>
      <c r="J92" t="s">
        <v>27</v>
      </c>
      <c r="K92">
        <v>0.27</v>
      </c>
      <c r="L92" t="s">
        <v>28</v>
      </c>
      <c r="M92" t="s">
        <v>32</v>
      </c>
      <c r="N92" t="s">
        <v>46</v>
      </c>
      <c r="O92" s="2">
        <f>_Salesdata[[#This Row],[Unit_Price]] * _Salesdata[[#This Row],[Quantity_Sold]]</f>
        <v>17335</v>
      </c>
      <c r="P92" s="2">
        <f>_Salesdata[[#This Row],[Unit_Cost]] * _Salesdata[[#This Row],[Quantity_Sold]]</f>
        <v>12029.75</v>
      </c>
      <c r="Q92" s="2">
        <f>_Salesdata[[#This Row],[Gross_Sales]] - _Salesdata[[#This Row],[Total Cost]]</f>
        <v>5305.25</v>
      </c>
      <c r="R92" s="2"/>
    </row>
    <row r="93" spans="1:18" x14ac:dyDescent="0.25">
      <c r="A93">
        <v>1014</v>
      </c>
      <c r="B93" s="1">
        <v>45264</v>
      </c>
      <c r="C93" t="s">
        <v>17</v>
      </c>
      <c r="D93" t="s">
        <v>25</v>
      </c>
      <c r="E93" s="2">
        <v>758.99</v>
      </c>
      <c r="F93">
        <v>49</v>
      </c>
      <c r="G93" t="s">
        <v>39</v>
      </c>
      <c r="H93" s="2">
        <v>493.35</v>
      </c>
      <c r="I93" s="2">
        <v>799.27</v>
      </c>
      <c r="J93" t="s">
        <v>27</v>
      </c>
      <c r="K93">
        <v>0.1</v>
      </c>
      <c r="L93" t="s">
        <v>44</v>
      </c>
      <c r="M93" t="s">
        <v>22</v>
      </c>
      <c r="N93" t="s">
        <v>34</v>
      </c>
      <c r="O93" s="2">
        <f>_Salesdata[[#This Row],[Unit_Price]] * _Salesdata[[#This Row],[Quantity_Sold]]</f>
        <v>39164.229999999996</v>
      </c>
      <c r="P93" s="2">
        <f>_Salesdata[[#This Row],[Unit_Cost]] * _Salesdata[[#This Row],[Quantity_Sold]]</f>
        <v>24174.15</v>
      </c>
      <c r="Q93" s="2">
        <f>_Salesdata[[#This Row],[Gross_Sales]] - _Salesdata[[#This Row],[Total Cost]]</f>
        <v>14990.079999999994</v>
      </c>
      <c r="R93" s="2"/>
    </row>
    <row r="94" spans="1:18" x14ac:dyDescent="0.25">
      <c r="A94">
        <v>1029</v>
      </c>
      <c r="B94" s="1">
        <v>45087</v>
      </c>
      <c r="C94" t="s">
        <v>48</v>
      </c>
      <c r="D94" t="s">
        <v>18</v>
      </c>
      <c r="E94" s="2">
        <v>1687.62</v>
      </c>
      <c r="F94">
        <v>15</v>
      </c>
      <c r="G94" t="s">
        <v>19</v>
      </c>
      <c r="H94" s="2">
        <v>498.27</v>
      </c>
      <c r="I94" s="2">
        <v>634.16</v>
      </c>
      <c r="J94" t="s">
        <v>20</v>
      </c>
      <c r="K94">
        <v>0.11</v>
      </c>
      <c r="L94" t="s">
        <v>28</v>
      </c>
      <c r="M94" t="s">
        <v>32</v>
      </c>
      <c r="N94" t="s">
        <v>54</v>
      </c>
      <c r="O94" s="2">
        <f>_Salesdata[[#This Row],[Unit_Price]] * _Salesdata[[#This Row],[Quantity_Sold]]</f>
        <v>9512.4</v>
      </c>
      <c r="P94" s="2">
        <f>_Salesdata[[#This Row],[Unit_Cost]] * _Salesdata[[#This Row],[Quantity_Sold]]</f>
        <v>7474.0499999999993</v>
      </c>
      <c r="Q94" s="2">
        <f>_Salesdata[[#This Row],[Gross_Sales]] - _Salesdata[[#This Row],[Total Cost]]</f>
        <v>2038.3500000000004</v>
      </c>
      <c r="R94" s="2"/>
    </row>
    <row r="95" spans="1:18" x14ac:dyDescent="0.25">
      <c r="A95">
        <v>1042</v>
      </c>
      <c r="B95" s="1">
        <v>45049</v>
      </c>
      <c r="C95" t="s">
        <v>24</v>
      </c>
      <c r="D95" t="s">
        <v>25</v>
      </c>
      <c r="E95" s="2">
        <v>7116.78</v>
      </c>
      <c r="F95">
        <v>37</v>
      </c>
      <c r="G95" t="s">
        <v>39</v>
      </c>
      <c r="H95" s="2">
        <v>502.86</v>
      </c>
      <c r="I95" s="2">
        <v>687.6</v>
      </c>
      <c r="J95" t="s">
        <v>20</v>
      </c>
      <c r="K95">
        <v>0.21</v>
      </c>
      <c r="L95" t="s">
        <v>21</v>
      </c>
      <c r="M95" t="s">
        <v>22</v>
      </c>
      <c r="N95" t="s">
        <v>29</v>
      </c>
      <c r="O95" s="2">
        <f>_Salesdata[[#This Row],[Unit_Price]] * _Salesdata[[#This Row],[Quantity_Sold]]</f>
        <v>25441.200000000001</v>
      </c>
      <c r="P95" s="2">
        <f>_Salesdata[[#This Row],[Unit_Cost]] * _Salesdata[[#This Row],[Quantity_Sold]]</f>
        <v>18605.82</v>
      </c>
      <c r="Q95" s="2">
        <f>_Salesdata[[#This Row],[Gross_Sales]] - _Salesdata[[#This Row],[Total Cost]]</f>
        <v>6835.380000000001</v>
      </c>
      <c r="R95" s="2"/>
    </row>
    <row r="96" spans="1:18" x14ac:dyDescent="0.25">
      <c r="A96">
        <v>1033</v>
      </c>
      <c r="B96" s="1">
        <v>45168</v>
      </c>
      <c r="C96" t="s">
        <v>17</v>
      </c>
      <c r="D96" t="s">
        <v>18</v>
      </c>
      <c r="E96" s="2">
        <v>6577.99</v>
      </c>
      <c r="F96">
        <v>14</v>
      </c>
      <c r="G96" t="s">
        <v>31</v>
      </c>
      <c r="H96" s="2">
        <v>504.3</v>
      </c>
      <c r="I96" s="2">
        <v>735.95</v>
      </c>
      <c r="J96" t="s">
        <v>20</v>
      </c>
      <c r="K96">
        <v>0.21</v>
      </c>
      <c r="L96" t="s">
        <v>21</v>
      </c>
      <c r="M96" t="s">
        <v>32</v>
      </c>
      <c r="N96" t="s">
        <v>23</v>
      </c>
      <c r="O96" s="2">
        <f>_Salesdata[[#This Row],[Unit_Price]] * _Salesdata[[#This Row],[Quantity_Sold]]</f>
        <v>10303.300000000001</v>
      </c>
      <c r="P96" s="2">
        <f>_Salesdata[[#This Row],[Unit_Cost]] * _Salesdata[[#This Row],[Quantity_Sold]]</f>
        <v>7060.2</v>
      </c>
      <c r="Q96" s="2">
        <f>_Salesdata[[#This Row],[Gross_Sales]] - _Salesdata[[#This Row],[Total Cost]]</f>
        <v>3243.1000000000013</v>
      </c>
      <c r="R96" s="2"/>
    </row>
    <row r="97" spans="1:18" x14ac:dyDescent="0.25">
      <c r="A97">
        <v>1002</v>
      </c>
      <c r="B97" s="1">
        <v>44977</v>
      </c>
      <c r="C97" t="s">
        <v>35</v>
      </c>
      <c r="D97" t="s">
        <v>25</v>
      </c>
      <c r="E97" s="2">
        <v>9469.92</v>
      </c>
      <c r="F97">
        <v>26</v>
      </c>
      <c r="G97" t="s">
        <v>31</v>
      </c>
      <c r="H97" s="2">
        <v>508.94</v>
      </c>
      <c r="I97" s="2">
        <v>557.69000000000005</v>
      </c>
      <c r="J97" t="s">
        <v>27</v>
      </c>
      <c r="K97">
        <v>0.22</v>
      </c>
      <c r="L97" t="s">
        <v>28</v>
      </c>
      <c r="M97" t="s">
        <v>32</v>
      </c>
      <c r="N97" t="s">
        <v>56</v>
      </c>
      <c r="O97" s="2">
        <f>_Salesdata[[#This Row],[Unit_Price]] * _Salesdata[[#This Row],[Quantity_Sold]]</f>
        <v>14499.940000000002</v>
      </c>
      <c r="P97" s="2">
        <f>_Salesdata[[#This Row],[Unit_Cost]] * _Salesdata[[#This Row],[Quantity_Sold]]</f>
        <v>13232.44</v>
      </c>
      <c r="Q97" s="2">
        <f>_Salesdata[[#This Row],[Gross_Sales]] - _Salesdata[[#This Row],[Total Cost]]</f>
        <v>1267.5000000000018</v>
      </c>
      <c r="R97" s="2"/>
    </row>
    <row r="98" spans="1:18" x14ac:dyDescent="0.25">
      <c r="A98">
        <v>1038</v>
      </c>
      <c r="B98" s="1">
        <v>44961</v>
      </c>
      <c r="C98" t="s">
        <v>35</v>
      </c>
      <c r="D98" t="s">
        <v>37</v>
      </c>
      <c r="E98" s="2">
        <v>8753.31</v>
      </c>
      <c r="F98">
        <v>7</v>
      </c>
      <c r="G98" t="s">
        <v>39</v>
      </c>
      <c r="H98" s="2">
        <v>523.02</v>
      </c>
      <c r="I98" s="2">
        <v>686.25</v>
      </c>
      <c r="J98" t="s">
        <v>20</v>
      </c>
      <c r="K98">
        <v>0.04</v>
      </c>
      <c r="L98" t="s">
        <v>21</v>
      </c>
      <c r="M98" t="s">
        <v>22</v>
      </c>
      <c r="N98" t="s">
        <v>38</v>
      </c>
      <c r="O98" s="2">
        <f>_Salesdata[[#This Row],[Unit_Price]] * _Salesdata[[#This Row],[Quantity_Sold]]</f>
        <v>4803.75</v>
      </c>
      <c r="P98" s="2">
        <f>_Salesdata[[#This Row],[Unit_Cost]] * _Salesdata[[#This Row],[Quantity_Sold]]</f>
        <v>3661.14</v>
      </c>
      <c r="Q98" s="2">
        <f>_Salesdata[[#This Row],[Gross_Sales]] - _Salesdata[[#This Row],[Total Cost]]</f>
        <v>1142.6100000000001</v>
      </c>
      <c r="R98" s="2"/>
    </row>
    <row r="99" spans="1:18" x14ac:dyDescent="0.25">
      <c r="A99">
        <v>1066</v>
      </c>
      <c r="B99" s="1">
        <v>45013</v>
      </c>
      <c r="C99" t="s">
        <v>35</v>
      </c>
      <c r="D99" t="s">
        <v>37</v>
      </c>
      <c r="E99" s="2">
        <v>7297.86</v>
      </c>
      <c r="F99">
        <v>7</v>
      </c>
      <c r="G99" t="s">
        <v>19</v>
      </c>
      <c r="H99" s="2">
        <v>523.41999999999996</v>
      </c>
      <c r="I99" s="2">
        <v>632.43999999999903</v>
      </c>
      <c r="J99" t="s">
        <v>27</v>
      </c>
      <c r="K99">
        <v>0.2</v>
      </c>
      <c r="L99" t="s">
        <v>44</v>
      </c>
      <c r="M99" t="s">
        <v>22</v>
      </c>
      <c r="N99" t="s">
        <v>38</v>
      </c>
      <c r="O99" s="2">
        <f>_Salesdata[[#This Row],[Unit_Price]] * _Salesdata[[#This Row],[Quantity_Sold]]</f>
        <v>4427.0799999999936</v>
      </c>
      <c r="P99" s="2">
        <f>_Salesdata[[#This Row],[Unit_Cost]] * _Salesdata[[#This Row],[Quantity_Sold]]</f>
        <v>3663.9399999999996</v>
      </c>
      <c r="Q99" s="2">
        <f>_Salesdata[[#This Row],[Gross_Sales]] - _Salesdata[[#This Row],[Total Cost]]</f>
        <v>763.13999999999396</v>
      </c>
      <c r="R99" s="2"/>
    </row>
    <row r="100" spans="1:18" x14ac:dyDescent="0.25">
      <c r="A100">
        <v>1043</v>
      </c>
      <c r="B100" s="1">
        <v>45219</v>
      </c>
      <c r="C100" t="s">
        <v>35</v>
      </c>
      <c r="D100" t="s">
        <v>40</v>
      </c>
      <c r="E100" s="2">
        <v>5081.01</v>
      </c>
      <c r="F100">
        <v>22</v>
      </c>
      <c r="G100" t="s">
        <v>31</v>
      </c>
      <c r="H100" s="2">
        <v>530.04</v>
      </c>
      <c r="I100" s="2">
        <v>759.31999999999903</v>
      </c>
      <c r="J100" t="s">
        <v>20</v>
      </c>
      <c r="K100">
        <v>0.17</v>
      </c>
      <c r="L100" t="s">
        <v>44</v>
      </c>
      <c r="M100" t="s">
        <v>32</v>
      </c>
      <c r="N100" t="s">
        <v>43</v>
      </c>
      <c r="O100" s="2">
        <f>_Salesdata[[#This Row],[Unit_Price]] * _Salesdata[[#This Row],[Quantity_Sold]]</f>
        <v>16705.039999999979</v>
      </c>
      <c r="P100" s="2">
        <f>_Salesdata[[#This Row],[Unit_Cost]] * _Salesdata[[#This Row],[Quantity_Sold]]</f>
        <v>11660.88</v>
      </c>
      <c r="Q100" s="2">
        <f>_Salesdata[[#This Row],[Gross_Sales]] - _Salesdata[[#This Row],[Total Cost]]</f>
        <v>5044.1599999999798</v>
      </c>
      <c r="R100" s="2"/>
    </row>
    <row r="101" spans="1:18" x14ac:dyDescent="0.25">
      <c r="A101">
        <v>1069</v>
      </c>
      <c r="B101" s="1">
        <v>45232</v>
      </c>
      <c r="C101" t="s">
        <v>35</v>
      </c>
      <c r="D101" t="s">
        <v>37</v>
      </c>
      <c r="E101" s="2">
        <v>6283.68</v>
      </c>
      <c r="F101">
        <v>23</v>
      </c>
      <c r="G101" t="s">
        <v>39</v>
      </c>
      <c r="H101" s="2">
        <v>530.24</v>
      </c>
      <c r="I101" s="2">
        <v>987.41</v>
      </c>
      <c r="J101" t="s">
        <v>20</v>
      </c>
      <c r="K101">
        <v>0.23</v>
      </c>
      <c r="L101" t="s">
        <v>28</v>
      </c>
      <c r="M101" t="s">
        <v>22</v>
      </c>
      <c r="N101" t="s">
        <v>38</v>
      </c>
      <c r="O101" s="2">
        <f>_Salesdata[[#This Row],[Unit_Price]] * _Salesdata[[#This Row],[Quantity_Sold]]</f>
        <v>22710.43</v>
      </c>
      <c r="P101" s="2">
        <f>_Salesdata[[#This Row],[Unit_Cost]] * _Salesdata[[#This Row],[Quantity_Sold]]</f>
        <v>12195.52</v>
      </c>
      <c r="Q101" s="2">
        <f>_Salesdata[[#This Row],[Gross_Sales]] - _Salesdata[[#This Row],[Total Cost]]</f>
        <v>10514.91</v>
      </c>
      <c r="R101" s="2"/>
    </row>
    <row r="102" spans="1:18" x14ac:dyDescent="0.25">
      <c r="A102">
        <v>1056</v>
      </c>
      <c r="B102" s="1">
        <v>45045</v>
      </c>
      <c r="C102" t="s">
        <v>35</v>
      </c>
      <c r="D102" t="s">
        <v>37</v>
      </c>
      <c r="E102" s="2">
        <v>8274.5400000000009</v>
      </c>
      <c r="F102">
        <v>10</v>
      </c>
      <c r="G102" t="s">
        <v>19</v>
      </c>
      <c r="H102" s="2">
        <v>536.80999999999995</v>
      </c>
      <c r="I102" s="2">
        <v>839.92</v>
      </c>
      <c r="J102" t="s">
        <v>20</v>
      </c>
      <c r="K102">
        <v>0.15</v>
      </c>
      <c r="L102" t="s">
        <v>44</v>
      </c>
      <c r="M102" t="s">
        <v>22</v>
      </c>
      <c r="N102" t="s">
        <v>38</v>
      </c>
      <c r="O102" s="2">
        <f>_Salesdata[[#This Row],[Unit_Price]] * _Salesdata[[#This Row],[Quantity_Sold]]</f>
        <v>8399.1999999999989</v>
      </c>
      <c r="P102" s="2">
        <f>_Salesdata[[#This Row],[Unit_Cost]] * _Salesdata[[#This Row],[Quantity_Sold]]</f>
        <v>5368.0999999999995</v>
      </c>
      <c r="Q102" s="2">
        <f>_Salesdata[[#This Row],[Gross_Sales]] - _Salesdata[[#This Row],[Total Cost]]</f>
        <v>3031.0999999999995</v>
      </c>
      <c r="R102" s="2"/>
    </row>
    <row r="103" spans="1:18" x14ac:dyDescent="0.25">
      <c r="A103">
        <v>1033</v>
      </c>
      <c r="B103" s="1">
        <v>45141</v>
      </c>
      <c r="C103" t="s">
        <v>24</v>
      </c>
      <c r="D103" t="s">
        <v>25</v>
      </c>
      <c r="E103" s="2">
        <v>1103.5899999999999</v>
      </c>
      <c r="F103">
        <v>40</v>
      </c>
      <c r="G103" t="s">
        <v>31</v>
      </c>
      <c r="H103" s="2">
        <v>541.19000000000005</v>
      </c>
      <c r="I103" s="2">
        <v>595.20000000000005</v>
      </c>
      <c r="J103" t="s">
        <v>20</v>
      </c>
      <c r="K103">
        <v>0.19</v>
      </c>
      <c r="L103" t="s">
        <v>28</v>
      </c>
      <c r="M103" t="s">
        <v>22</v>
      </c>
      <c r="N103" t="s">
        <v>29</v>
      </c>
      <c r="O103" s="2">
        <f>_Salesdata[[#This Row],[Unit_Price]] * _Salesdata[[#This Row],[Quantity_Sold]]</f>
        <v>23808</v>
      </c>
      <c r="P103" s="2">
        <f>_Salesdata[[#This Row],[Unit_Cost]] * _Salesdata[[#This Row],[Quantity_Sold]]</f>
        <v>21647.600000000002</v>
      </c>
      <c r="Q103" s="2">
        <f>_Salesdata[[#This Row],[Gross_Sales]] - _Salesdata[[#This Row],[Total Cost]]</f>
        <v>2160.3999999999978</v>
      </c>
      <c r="R103" s="2"/>
    </row>
    <row r="104" spans="1:18" x14ac:dyDescent="0.25">
      <c r="A104">
        <v>1009</v>
      </c>
      <c r="B104" s="1">
        <v>45231</v>
      </c>
      <c r="C104" t="s">
        <v>17</v>
      </c>
      <c r="D104" t="s">
        <v>40</v>
      </c>
      <c r="E104" s="2">
        <v>7172.8</v>
      </c>
      <c r="F104">
        <v>14</v>
      </c>
      <c r="G104" t="s">
        <v>31</v>
      </c>
      <c r="H104" s="2">
        <v>547.79</v>
      </c>
      <c r="I104" s="2">
        <v>958.76</v>
      </c>
      <c r="J104" t="s">
        <v>20</v>
      </c>
      <c r="K104">
        <v>7.0000000000000007E-2</v>
      </c>
      <c r="L104" t="s">
        <v>28</v>
      </c>
      <c r="M104" t="s">
        <v>32</v>
      </c>
      <c r="N104" t="s">
        <v>42</v>
      </c>
      <c r="O104" s="2">
        <f>_Salesdata[[#This Row],[Unit_Price]] * _Salesdata[[#This Row],[Quantity_Sold]]</f>
        <v>13422.64</v>
      </c>
      <c r="P104" s="2">
        <f>_Salesdata[[#This Row],[Unit_Cost]] * _Salesdata[[#This Row],[Quantity_Sold]]</f>
        <v>7669.0599999999995</v>
      </c>
      <c r="Q104" s="2">
        <f>_Salesdata[[#This Row],[Gross_Sales]] - _Salesdata[[#This Row],[Total Cost]]</f>
        <v>5753.58</v>
      </c>
      <c r="R104" s="2"/>
    </row>
    <row r="105" spans="1:18" x14ac:dyDescent="0.25">
      <c r="A105">
        <v>1087</v>
      </c>
      <c r="B105" s="1">
        <v>45223</v>
      </c>
      <c r="C105" t="s">
        <v>17</v>
      </c>
      <c r="D105" t="s">
        <v>18</v>
      </c>
      <c r="E105" s="2">
        <v>7825.62</v>
      </c>
      <c r="F105">
        <v>28</v>
      </c>
      <c r="G105" t="s">
        <v>19</v>
      </c>
      <c r="H105" s="2">
        <v>551.83000000000004</v>
      </c>
      <c r="I105" s="2">
        <v>569.63</v>
      </c>
      <c r="J105" t="s">
        <v>27</v>
      </c>
      <c r="K105">
        <v>0.13</v>
      </c>
      <c r="L105" t="s">
        <v>28</v>
      </c>
      <c r="M105" t="s">
        <v>32</v>
      </c>
      <c r="N105" t="s">
        <v>23</v>
      </c>
      <c r="O105" s="2">
        <f>_Salesdata[[#This Row],[Unit_Price]] * _Salesdata[[#This Row],[Quantity_Sold]]</f>
        <v>15949.64</v>
      </c>
      <c r="P105" s="2">
        <f>_Salesdata[[#This Row],[Unit_Cost]] * _Salesdata[[#This Row],[Quantity_Sold]]</f>
        <v>15451.240000000002</v>
      </c>
      <c r="Q105" s="2">
        <f>_Salesdata[[#This Row],[Gross_Sales]] - _Salesdata[[#This Row],[Total Cost]]</f>
        <v>498.39999999999782</v>
      </c>
      <c r="R105" s="2"/>
    </row>
    <row r="106" spans="1:18" x14ac:dyDescent="0.25">
      <c r="A106">
        <v>1014</v>
      </c>
      <c r="B106" s="1">
        <v>45181</v>
      </c>
      <c r="C106" t="s">
        <v>35</v>
      </c>
      <c r="D106" t="s">
        <v>18</v>
      </c>
      <c r="E106" s="2">
        <v>8406.07</v>
      </c>
      <c r="F106">
        <v>48</v>
      </c>
      <c r="G106" t="s">
        <v>39</v>
      </c>
      <c r="H106" s="2">
        <v>556.72</v>
      </c>
      <c r="I106" s="2">
        <v>665.07</v>
      </c>
      <c r="J106" t="s">
        <v>20</v>
      </c>
      <c r="K106">
        <v>0.01</v>
      </c>
      <c r="L106" t="s">
        <v>44</v>
      </c>
      <c r="M106" t="s">
        <v>32</v>
      </c>
      <c r="N106" t="s">
        <v>36</v>
      </c>
      <c r="O106" s="2">
        <f>_Salesdata[[#This Row],[Unit_Price]] * _Salesdata[[#This Row],[Quantity_Sold]]</f>
        <v>31923.360000000001</v>
      </c>
      <c r="P106" s="2">
        <f>_Salesdata[[#This Row],[Unit_Cost]] * _Salesdata[[#This Row],[Quantity_Sold]]</f>
        <v>26722.560000000001</v>
      </c>
      <c r="Q106" s="2">
        <f>_Salesdata[[#This Row],[Gross_Sales]] - _Salesdata[[#This Row],[Total Cost]]</f>
        <v>5200.7999999999993</v>
      </c>
      <c r="R106" s="2"/>
    </row>
    <row r="107" spans="1:18" x14ac:dyDescent="0.25">
      <c r="A107">
        <v>1077</v>
      </c>
      <c r="B107" s="1">
        <v>45211</v>
      </c>
      <c r="C107" t="s">
        <v>30</v>
      </c>
      <c r="D107" t="s">
        <v>40</v>
      </c>
      <c r="E107" s="2">
        <v>628.15</v>
      </c>
      <c r="F107">
        <v>23</v>
      </c>
      <c r="G107" t="s">
        <v>26</v>
      </c>
      <c r="H107" s="2">
        <v>557.52</v>
      </c>
      <c r="I107" s="2">
        <v>822.39</v>
      </c>
      <c r="J107" t="s">
        <v>20</v>
      </c>
      <c r="K107">
        <v>0.28999999999999998</v>
      </c>
      <c r="L107" t="s">
        <v>28</v>
      </c>
      <c r="M107" t="s">
        <v>22</v>
      </c>
      <c r="N107" t="s">
        <v>41</v>
      </c>
      <c r="O107" s="2">
        <f>_Salesdata[[#This Row],[Unit_Price]] * _Salesdata[[#This Row],[Quantity_Sold]]</f>
        <v>18914.97</v>
      </c>
      <c r="P107" s="2">
        <f>_Salesdata[[#This Row],[Unit_Cost]] * _Salesdata[[#This Row],[Quantity_Sold]]</f>
        <v>12822.96</v>
      </c>
      <c r="Q107" s="2">
        <f>_Salesdata[[#This Row],[Gross_Sales]] - _Salesdata[[#This Row],[Total Cost]]</f>
        <v>6092.010000000002</v>
      </c>
      <c r="R107" s="2"/>
    </row>
    <row r="108" spans="1:18" x14ac:dyDescent="0.25">
      <c r="A108">
        <v>1049</v>
      </c>
      <c r="B108" s="1">
        <v>45010</v>
      </c>
      <c r="C108" t="s">
        <v>48</v>
      </c>
      <c r="D108" t="s">
        <v>18</v>
      </c>
      <c r="E108" s="2">
        <v>8611.9699999999993</v>
      </c>
      <c r="F108">
        <v>17</v>
      </c>
      <c r="G108" t="s">
        <v>26</v>
      </c>
      <c r="H108" s="2">
        <v>558.70000000000005</v>
      </c>
      <c r="I108" s="2">
        <v>1004.08</v>
      </c>
      <c r="J108" t="s">
        <v>20</v>
      </c>
      <c r="K108">
        <v>0.03</v>
      </c>
      <c r="L108" t="s">
        <v>28</v>
      </c>
      <c r="M108" t="s">
        <v>22</v>
      </c>
      <c r="N108" t="s">
        <v>54</v>
      </c>
      <c r="O108" s="2">
        <f>_Salesdata[[#This Row],[Unit_Price]] * _Salesdata[[#This Row],[Quantity_Sold]]</f>
        <v>17069.36</v>
      </c>
      <c r="P108" s="2">
        <f>_Salesdata[[#This Row],[Unit_Cost]] * _Salesdata[[#This Row],[Quantity_Sold]]</f>
        <v>9497.9000000000015</v>
      </c>
      <c r="Q108" s="2">
        <f>_Salesdata[[#This Row],[Gross_Sales]] - _Salesdata[[#This Row],[Total Cost]]</f>
        <v>7571.4599999999991</v>
      </c>
      <c r="R108" s="2"/>
    </row>
    <row r="109" spans="1:18" x14ac:dyDescent="0.25">
      <c r="A109">
        <v>1047</v>
      </c>
      <c r="B109" s="1">
        <v>45086</v>
      </c>
      <c r="C109" t="s">
        <v>30</v>
      </c>
      <c r="D109" t="s">
        <v>18</v>
      </c>
      <c r="E109" s="2">
        <v>3746.64</v>
      </c>
      <c r="F109">
        <v>18</v>
      </c>
      <c r="G109" t="s">
        <v>19</v>
      </c>
      <c r="H109" s="2">
        <v>560.91999999999996</v>
      </c>
      <c r="I109" s="2">
        <v>1024.31</v>
      </c>
      <c r="J109" t="s">
        <v>20</v>
      </c>
      <c r="K109">
        <v>0.26</v>
      </c>
      <c r="L109" t="s">
        <v>21</v>
      </c>
      <c r="M109" t="s">
        <v>22</v>
      </c>
      <c r="N109" t="s">
        <v>33</v>
      </c>
      <c r="O109" s="2">
        <f>_Salesdata[[#This Row],[Unit_Price]] * _Salesdata[[#This Row],[Quantity_Sold]]</f>
        <v>18437.579999999998</v>
      </c>
      <c r="P109" s="2">
        <f>_Salesdata[[#This Row],[Unit_Cost]] * _Salesdata[[#This Row],[Quantity_Sold]]</f>
        <v>10096.56</v>
      </c>
      <c r="Q109" s="2">
        <f>_Salesdata[[#This Row],[Gross_Sales]] - _Salesdata[[#This Row],[Total Cost]]</f>
        <v>8341.0199999999986</v>
      </c>
      <c r="R109" s="2"/>
    </row>
    <row r="110" spans="1:18" x14ac:dyDescent="0.25">
      <c r="A110">
        <v>1043</v>
      </c>
      <c r="B110" s="1">
        <v>45275</v>
      </c>
      <c r="C110" t="s">
        <v>30</v>
      </c>
      <c r="D110" t="s">
        <v>25</v>
      </c>
      <c r="E110" s="2">
        <v>4448.18</v>
      </c>
      <c r="F110">
        <v>6</v>
      </c>
      <c r="G110" t="s">
        <v>19</v>
      </c>
      <c r="H110" s="2">
        <v>563.59</v>
      </c>
      <c r="I110" s="2">
        <v>838.97</v>
      </c>
      <c r="J110" t="s">
        <v>27</v>
      </c>
      <c r="K110">
        <v>0.17</v>
      </c>
      <c r="L110" t="s">
        <v>28</v>
      </c>
      <c r="M110" t="s">
        <v>22</v>
      </c>
      <c r="N110" t="s">
        <v>45</v>
      </c>
      <c r="O110" s="2">
        <f>_Salesdata[[#This Row],[Unit_Price]] * _Salesdata[[#This Row],[Quantity_Sold]]</f>
        <v>5033.82</v>
      </c>
      <c r="P110" s="2">
        <f>_Salesdata[[#This Row],[Unit_Cost]] * _Salesdata[[#This Row],[Quantity_Sold]]</f>
        <v>3381.54</v>
      </c>
      <c r="Q110" s="2">
        <f>_Salesdata[[#This Row],[Gross_Sales]] - _Salesdata[[#This Row],[Total Cost]]</f>
        <v>1652.2799999999997</v>
      </c>
      <c r="R110" s="2"/>
    </row>
    <row r="111" spans="1:18" x14ac:dyDescent="0.25">
      <c r="A111">
        <v>1031</v>
      </c>
      <c r="B111" s="1">
        <v>45102</v>
      </c>
      <c r="C111" t="s">
        <v>24</v>
      </c>
      <c r="D111" t="s">
        <v>25</v>
      </c>
      <c r="E111" s="2">
        <v>1781.82</v>
      </c>
      <c r="F111">
        <v>10</v>
      </c>
      <c r="G111" t="s">
        <v>26</v>
      </c>
      <c r="H111" s="2">
        <v>566.86</v>
      </c>
      <c r="I111" s="2">
        <v>818.14</v>
      </c>
      <c r="J111" t="s">
        <v>20</v>
      </c>
      <c r="K111">
        <v>0.25</v>
      </c>
      <c r="L111" t="s">
        <v>28</v>
      </c>
      <c r="M111" t="s">
        <v>32</v>
      </c>
      <c r="N111" t="s">
        <v>29</v>
      </c>
      <c r="O111" s="2">
        <f>_Salesdata[[#This Row],[Unit_Price]] * _Salesdata[[#This Row],[Quantity_Sold]]</f>
        <v>8181.4</v>
      </c>
      <c r="P111" s="2">
        <f>_Salesdata[[#This Row],[Unit_Cost]] * _Salesdata[[#This Row],[Quantity_Sold]]</f>
        <v>5668.6</v>
      </c>
      <c r="Q111" s="2">
        <f>_Salesdata[[#This Row],[Gross_Sales]] - _Salesdata[[#This Row],[Total Cost]]</f>
        <v>2512.7999999999993</v>
      </c>
      <c r="R111" s="2"/>
    </row>
    <row r="112" spans="1:18" x14ac:dyDescent="0.25">
      <c r="A112">
        <v>1023</v>
      </c>
      <c r="B112" s="1">
        <v>44931</v>
      </c>
      <c r="C112" t="s">
        <v>24</v>
      </c>
      <c r="D112" t="s">
        <v>18</v>
      </c>
      <c r="E112" s="2">
        <v>6442.09</v>
      </c>
      <c r="F112">
        <v>2</v>
      </c>
      <c r="G112" t="s">
        <v>19</v>
      </c>
      <c r="H112" s="2">
        <v>575.32000000000005</v>
      </c>
      <c r="I112" s="2">
        <v>914.77</v>
      </c>
      <c r="J112" t="s">
        <v>20</v>
      </c>
      <c r="K112">
        <v>0.26</v>
      </c>
      <c r="L112" t="s">
        <v>44</v>
      </c>
      <c r="M112" t="s">
        <v>22</v>
      </c>
      <c r="N112" t="s">
        <v>46</v>
      </c>
      <c r="O112" s="2">
        <f>_Salesdata[[#This Row],[Unit_Price]] * _Salesdata[[#This Row],[Quantity_Sold]]</f>
        <v>1829.54</v>
      </c>
      <c r="P112" s="2">
        <f>_Salesdata[[#This Row],[Unit_Cost]] * _Salesdata[[#This Row],[Quantity_Sold]]</f>
        <v>1150.6400000000001</v>
      </c>
      <c r="Q112" s="2">
        <f>_Salesdata[[#This Row],[Gross_Sales]] - _Salesdata[[#This Row],[Total Cost]]</f>
        <v>678.89999999999986</v>
      </c>
      <c r="R112" s="2"/>
    </row>
    <row r="113" spans="1:18" x14ac:dyDescent="0.25">
      <c r="A113">
        <v>1084</v>
      </c>
      <c r="B113" s="1">
        <v>44937</v>
      </c>
      <c r="C113" t="s">
        <v>17</v>
      </c>
      <c r="D113" t="s">
        <v>18</v>
      </c>
      <c r="E113" s="2">
        <v>8967.18</v>
      </c>
      <c r="F113">
        <v>21</v>
      </c>
      <c r="G113" t="s">
        <v>19</v>
      </c>
      <c r="H113" s="2">
        <v>576.74</v>
      </c>
      <c r="I113" s="2">
        <v>648.29</v>
      </c>
      <c r="J113" t="s">
        <v>20</v>
      </c>
      <c r="K113">
        <v>0.2</v>
      </c>
      <c r="L113" t="s">
        <v>44</v>
      </c>
      <c r="M113" t="s">
        <v>22</v>
      </c>
      <c r="N113" t="s">
        <v>23</v>
      </c>
      <c r="O113" s="2">
        <f>_Salesdata[[#This Row],[Unit_Price]] * _Salesdata[[#This Row],[Quantity_Sold]]</f>
        <v>13614.09</v>
      </c>
      <c r="P113" s="2">
        <f>_Salesdata[[#This Row],[Unit_Cost]] * _Salesdata[[#This Row],[Quantity_Sold]]</f>
        <v>12111.54</v>
      </c>
      <c r="Q113" s="2">
        <f>_Salesdata[[#This Row],[Gross_Sales]] - _Salesdata[[#This Row],[Total Cost]]</f>
        <v>1502.5499999999993</v>
      </c>
      <c r="R113" s="2"/>
    </row>
    <row r="114" spans="1:18" x14ac:dyDescent="0.25">
      <c r="A114">
        <v>1021</v>
      </c>
      <c r="B114" s="1">
        <v>44999</v>
      </c>
      <c r="C114" t="s">
        <v>30</v>
      </c>
      <c r="D114" t="s">
        <v>40</v>
      </c>
      <c r="E114" s="2">
        <v>7792.79</v>
      </c>
      <c r="F114">
        <v>23</v>
      </c>
      <c r="G114" t="s">
        <v>31</v>
      </c>
      <c r="H114" s="2">
        <v>580.75</v>
      </c>
      <c r="I114" s="2">
        <v>956.16</v>
      </c>
      <c r="J114" t="s">
        <v>20</v>
      </c>
      <c r="K114">
        <v>7.0000000000000007E-2</v>
      </c>
      <c r="L114" t="s">
        <v>21</v>
      </c>
      <c r="M114" t="s">
        <v>32</v>
      </c>
      <c r="N114" t="s">
        <v>41</v>
      </c>
      <c r="O114" s="2">
        <f>_Salesdata[[#This Row],[Unit_Price]] * _Salesdata[[#This Row],[Quantity_Sold]]</f>
        <v>21991.68</v>
      </c>
      <c r="P114" s="2">
        <f>_Salesdata[[#This Row],[Unit_Cost]] * _Salesdata[[#This Row],[Quantity_Sold]]</f>
        <v>13357.25</v>
      </c>
      <c r="Q114" s="2">
        <f>_Salesdata[[#This Row],[Gross_Sales]] - _Salesdata[[#This Row],[Total Cost]]</f>
        <v>8634.43</v>
      </c>
      <c r="R114" s="2"/>
    </row>
    <row r="115" spans="1:18" x14ac:dyDescent="0.25">
      <c r="A115">
        <v>1077</v>
      </c>
      <c r="B115" s="1">
        <v>44937</v>
      </c>
      <c r="C115" t="s">
        <v>48</v>
      </c>
      <c r="D115" t="s">
        <v>37</v>
      </c>
      <c r="E115" s="2">
        <v>9192.42</v>
      </c>
      <c r="F115">
        <v>35</v>
      </c>
      <c r="G115" t="s">
        <v>26</v>
      </c>
      <c r="H115" s="2">
        <v>585.37</v>
      </c>
      <c r="I115" s="2">
        <v>970.49</v>
      </c>
      <c r="J115" t="s">
        <v>20</v>
      </c>
      <c r="K115">
        <v>0.15</v>
      </c>
      <c r="L115" t="s">
        <v>44</v>
      </c>
      <c r="M115" t="s">
        <v>32</v>
      </c>
      <c r="N115" t="s">
        <v>52</v>
      </c>
      <c r="O115" s="2">
        <f>_Salesdata[[#This Row],[Unit_Price]] * _Salesdata[[#This Row],[Quantity_Sold]]</f>
        <v>33967.15</v>
      </c>
      <c r="P115" s="2">
        <f>_Salesdata[[#This Row],[Unit_Cost]] * _Salesdata[[#This Row],[Quantity_Sold]]</f>
        <v>20487.95</v>
      </c>
      <c r="Q115" s="2">
        <f>_Salesdata[[#This Row],[Gross_Sales]] - _Salesdata[[#This Row],[Total Cost]]</f>
        <v>13479.2</v>
      </c>
      <c r="R115" s="2"/>
    </row>
    <row r="116" spans="1:18" x14ac:dyDescent="0.25">
      <c r="A116">
        <v>1072</v>
      </c>
      <c r="B116" s="1">
        <v>45235</v>
      </c>
      <c r="C116" t="s">
        <v>30</v>
      </c>
      <c r="D116" t="s">
        <v>25</v>
      </c>
      <c r="E116" s="2">
        <v>5969.12</v>
      </c>
      <c r="F116">
        <v>39</v>
      </c>
      <c r="G116" t="s">
        <v>19</v>
      </c>
      <c r="H116" s="2">
        <v>591.98</v>
      </c>
      <c r="I116" s="2">
        <v>934.04</v>
      </c>
      <c r="J116" t="s">
        <v>27</v>
      </c>
      <c r="K116">
        <v>0.26</v>
      </c>
      <c r="L116" t="s">
        <v>44</v>
      </c>
      <c r="M116" t="s">
        <v>32</v>
      </c>
      <c r="N116" t="s">
        <v>45</v>
      </c>
      <c r="O116" s="2">
        <f>_Salesdata[[#This Row],[Unit_Price]] * _Salesdata[[#This Row],[Quantity_Sold]]</f>
        <v>36427.56</v>
      </c>
      <c r="P116" s="2">
        <f>_Salesdata[[#This Row],[Unit_Cost]] * _Salesdata[[#This Row],[Quantity_Sold]]</f>
        <v>23087.22</v>
      </c>
      <c r="Q116" s="2">
        <f>_Salesdata[[#This Row],[Gross_Sales]] - _Salesdata[[#This Row],[Total Cost]]</f>
        <v>13340.339999999997</v>
      </c>
      <c r="R116" s="2"/>
    </row>
    <row r="117" spans="1:18" x14ac:dyDescent="0.25">
      <c r="A117">
        <v>1008</v>
      </c>
      <c r="B117" s="1">
        <v>45039</v>
      </c>
      <c r="C117" t="s">
        <v>48</v>
      </c>
      <c r="D117" t="s">
        <v>37</v>
      </c>
      <c r="E117" s="2">
        <v>9154.0300000000007</v>
      </c>
      <c r="F117">
        <v>35</v>
      </c>
      <c r="G117" t="s">
        <v>19</v>
      </c>
      <c r="H117" s="2">
        <v>600.20000000000005</v>
      </c>
      <c r="I117" s="2">
        <v>1059.82</v>
      </c>
      <c r="J117" t="s">
        <v>20</v>
      </c>
      <c r="K117">
        <v>0.28999999999999998</v>
      </c>
      <c r="L117" t="s">
        <v>44</v>
      </c>
      <c r="M117" t="s">
        <v>32</v>
      </c>
      <c r="N117" t="s">
        <v>52</v>
      </c>
      <c r="O117" s="2">
        <f>_Salesdata[[#This Row],[Unit_Price]] * _Salesdata[[#This Row],[Quantity_Sold]]</f>
        <v>37093.699999999997</v>
      </c>
      <c r="P117" s="2">
        <f>_Salesdata[[#This Row],[Unit_Cost]] * _Salesdata[[#This Row],[Quantity_Sold]]</f>
        <v>21007</v>
      </c>
      <c r="Q117" s="2">
        <f>_Salesdata[[#This Row],[Gross_Sales]] - _Salesdata[[#This Row],[Total Cost]]</f>
        <v>16086.699999999997</v>
      </c>
      <c r="R117" s="2"/>
    </row>
    <row r="118" spans="1:18" x14ac:dyDescent="0.25">
      <c r="A118">
        <v>1041</v>
      </c>
      <c r="B118" s="1">
        <v>45246</v>
      </c>
      <c r="C118" t="s">
        <v>30</v>
      </c>
      <c r="D118" t="s">
        <v>40</v>
      </c>
      <c r="E118" s="2">
        <v>3942.84</v>
      </c>
      <c r="F118">
        <v>40</v>
      </c>
      <c r="G118" t="s">
        <v>31</v>
      </c>
      <c r="H118" s="2">
        <v>601.86</v>
      </c>
      <c r="I118" s="2">
        <v>1067.53</v>
      </c>
      <c r="J118" t="s">
        <v>27</v>
      </c>
      <c r="K118">
        <v>0.18</v>
      </c>
      <c r="L118" t="s">
        <v>21</v>
      </c>
      <c r="M118" t="s">
        <v>22</v>
      </c>
      <c r="N118" t="s">
        <v>41</v>
      </c>
      <c r="O118" s="2">
        <f>_Salesdata[[#This Row],[Unit_Price]] * _Salesdata[[#This Row],[Quantity_Sold]]</f>
        <v>42701.2</v>
      </c>
      <c r="P118" s="2">
        <f>_Salesdata[[#This Row],[Unit_Cost]] * _Salesdata[[#This Row],[Quantity_Sold]]</f>
        <v>24074.400000000001</v>
      </c>
      <c r="Q118" s="2">
        <f>_Salesdata[[#This Row],[Gross_Sales]] - _Salesdata[[#This Row],[Total Cost]]</f>
        <v>18626.799999999996</v>
      </c>
      <c r="R118" s="2"/>
    </row>
    <row r="119" spans="1:18" x14ac:dyDescent="0.25">
      <c r="A119">
        <v>1076</v>
      </c>
      <c r="B119" s="1">
        <v>44970</v>
      </c>
      <c r="C119" t="s">
        <v>48</v>
      </c>
      <c r="D119" t="s">
        <v>37</v>
      </c>
      <c r="E119" s="2">
        <v>6697.98</v>
      </c>
      <c r="F119">
        <v>17</v>
      </c>
      <c r="G119" t="s">
        <v>19</v>
      </c>
      <c r="H119" s="2">
        <v>604.08000000000004</v>
      </c>
      <c r="I119" s="2">
        <v>624.71</v>
      </c>
      <c r="J119" t="s">
        <v>27</v>
      </c>
      <c r="K119">
        <v>0.14000000000000001</v>
      </c>
      <c r="L119" t="s">
        <v>44</v>
      </c>
      <c r="M119" t="s">
        <v>32</v>
      </c>
      <c r="N119" t="s">
        <v>52</v>
      </c>
      <c r="O119" s="2">
        <f>_Salesdata[[#This Row],[Unit_Price]] * _Salesdata[[#This Row],[Quantity_Sold]]</f>
        <v>10620.07</v>
      </c>
      <c r="P119" s="2">
        <f>_Salesdata[[#This Row],[Unit_Cost]] * _Salesdata[[#This Row],[Quantity_Sold]]</f>
        <v>10269.36</v>
      </c>
      <c r="Q119" s="2">
        <f>_Salesdata[[#This Row],[Gross_Sales]] - _Salesdata[[#This Row],[Total Cost]]</f>
        <v>350.70999999999913</v>
      </c>
      <c r="R119" s="2"/>
    </row>
    <row r="120" spans="1:18" x14ac:dyDescent="0.25">
      <c r="A120">
        <v>1096</v>
      </c>
      <c r="B120" s="1">
        <v>45180</v>
      </c>
      <c r="C120" t="s">
        <v>48</v>
      </c>
      <c r="D120" t="s">
        <v>40</v>
      </c>
      <c r="E120" s="2">
        <v>7597.37</v>
      </c>
      <c r="F120">
        <v>23</v>
      </c>
      <c r="G120" t="s">
        <v>26</v>
      </c>
      <c r="H120" s="2">
        <v>608.57000000000005</v>
      </c>
      <c r="I120" s="2">
        <v>1032.22</v>
      </c>
      <c r="J120" t="s">
        <v>27</v>
      </c>
      <c r="K120">
        <v>0.25</v>
      </c>
      <c r="L120" t="s">
        <v>21</v>
      </c>
      <c r="M120" t="s">
        <v>32</v>
      </c>
      <c r="N120" t="s">
        <v>50</v>
      </c>
      <c r="O120" s="2">
        <f>_Salesdata[[#This Row],[Unit_Price]] * _Salesdata[[#This Row],[Quantity_Sold]]</f>
        <v>23741.06</v>
      </c>
      <c r="P120" s="2">
        <f>_Salesdata[[#This Row],[Unit_Cost]] * _Salesdata[[#This Row],[Quantity_Sold]]</f>
        <v>13997.11</v>
      </c>
      <c r="Q120" s="2">
        <f>_Salesdata[[#This Row],[Gross_Sales]] - _Salesdata[[#This Row],[Total Cost]]</f>
        <v>9743.9500000000007</v>
      </c>
      <c r="R120" s="2"/>
    </row>
    <row r="121" spans="1:18" x14ac:dyDescent="0.25">
      <c r="A121">
        <v>1035</v>
      </c>
      <c r="B121" s="1">
        <v>45214</v>
      </c>
      <c r="C121" t="s">
        <v>30</v>
      </c>
      <c r="D121" t="s">
        <v>37</v>
      </c>
      <c r="E121" s="2">
        <v>9476.2000000000007</v>
      </c>
      <c r="F121">
        <v>1</v>
      </c>
      <c r="G121" t="s">
        <v>39</v>
      </c>
      <c r="H121" s="2">
        <v>610.83000000000004</v>
      </c>
      <c r="I121" s="2">
        <v>808.69</v>
      </c>
      <c r="J121" t="s">
        <v>27</v>
      </c>
      <c r="K121">
        <v>0.22</v>
      </c>
      <c r="L121" t="s">
        <v>28</v>
      </c>
      <c r="M121" t="s">
        <v>22</v>
      </c>
      <c r="N121" t="s">
        <v>51</v>
      </c>
      <c r="O121" s="2">
        <f>_Salesdata[[#This Row],[Unit_Price]] * _Salesdata[[#This Row],[Quantity_Sold]]</f>
        <v>808.69</v>
      </c>
      <c r="P121" s="2">
        <f>_Salesdata[[#This Row],[Unit_Cost]] * _Salesdata[[#This Row],[Quantity_Sold]]</f>
        <v>610.83000000000004</v>
      </c>
      <c r="Q121" s="2">
        <f>_Salesdata[[#This Row],[Gross_Sales]] - _Salesdata[[#This Row],[Total Cost]]</f>
        <v>197.86</v>
      </c>
      <c r="R121" s="2"/>
    </row>
    <row r="122" spans="1:18" x14ac:dyDescent="0.25">
      <c r="A122">
        <v>1094</v>
      </c>
      <c r="B122" s="1">
        <v>44989</v>
      </c>
      <c r="C122" t="s">
        <v>17</v>
      </c>
      <c r="D122" t="s">
        <v>37</v>
      </c>
      <c r="E122" s="2">
        <v>3992.63</v>
      </c>
      <c r="F122">
        <v>49</v>
      </c>
      <c r="G122" t="s">
        <v>31</v>
      </c>
      <c r="H122" s="2">
        <v>615.47</v>
      </c>
      <c r="I122" s="2">
        <v>715.84</v>
      </c>
      <c r="J122" t="s">
        <v>20</v>
      </c>
      <c r="K122">
        <v>0.21</v>
      </c>
      <c r="L122" t="s">
        <v>28</v>
      </c>
      <c r="M122" t="s">
        <v>32</v>
      </c>
      <c r="N122" t="s">
        <v>47</v>
      </c>
      <c r="O122" s="2">
        <f>_Salesdata[[#This Row],[Unit_Price]] * _Salesdata[[#This Row],[Quantity_Sold]]</f>
        <v>35076.160000000003</v>
      </c>
      <c r="P122" s="2">
        <f>_Salesdata[[#This Row],[Unit_Cost]] * _Salesdata[[#This Row],[Quantity_Sold]]</f>
        <v>30158.030000000002</v>
      </c>
      <c r="Q122" s="2">
        <f>_Salesdata[[#This Row],[Gross_Sales]] - _Salesdata[[#This Row],[Total Cost]]</f>
        <v>4918.130000000001</v>
      </c>
      <c r="R122" s="2"/>
    </row>
    <row r="123" spans="1:18" x14ac:dyDescent="0.25">
      <c r="A123">
        <v>1081</v>
      </c>
      <c r="B123" s="1">
        <v>44931</v>
      </c>
      <c r="C123" t="s">
        <v>17</v>
      </c>
      <c r="D123" t="s">
        <v>40</v>
      </c>
      <c r="E123" s="2">
        <v>1429.32</v>
      </c>
      <c r="F123">
        <v>44</v>
      </c>
      <c r="G123" t="s">
        <v>31</v>
      </c>
      <c r="H123" s="2">
        <v>618.79</v>
      </c>
      <c r="I123" s="2">
        <v>938.04</v>
      </c>
      <c r="J123" t="s">
        <v>20</v>
      </c>
      <c r="K123">
        <v>0.03</v>
      </c>
      <c r="L123" t="s">
        <v>21</v>
      </c>
      <c r="M123" t="s">
        <v>22</v>
      </c>
      <c r="N123" t="s">
        <v>42</v>
      </c>
      <c r="O123" s="2">
        <f>_Salesdata[[#This Row],[Unit_Price]] * _Salesdata[[#This Row],[Quantity_Sold]]</f>
        <v>41273.759999999995</v>
      </c>
      <c r="P123" s="2">
        <f>_Salesdata[[#This Row],[Unit_Cost]] * _Salesdata[[#This Row],[Quantity_Sold]]</f>
        <v>27226.76</v>
      </c>
      <c r="Q123" s="2">
        <f>_Salesdata[[#This Row],[Gross_Sales]] - _Salesdata[[#This Row],[Total Cost]]</f>
        <v>14046.999999999996</v>
      </c>
      <c r="R123" s="2"/>
    </row>
    <row r="124" spans="1:18" x14ac:dyDescent="0.25">
      <c r="A124">
        <v>1095</v>
      </c>
      <c r="B124" s="1">
        <v>45208</v>
      </c>
      <c r="C124" t="s">
        <v>30</v>
      </c>
      <c r="D124" t="s">
        <v>37</v>
      </c>
      <c r="E124" s="2">
        <v>8828.74</v>
      </c>
      <c r="F124">
        <v>21</v>
      </c>
      <c r="G124" t="s">
        <v>19</v>
      </c>
      <c r="H124" s="2">
        <v>621.04999999999995</v>
      </c>
      <c r="I124" s="2">
        <v>820.36999999999898</v>
      </c>
      <c r="J124" t="s">
        <v>20</v>
      </c>
      <c r="K124">
        <v>0.24</v>
      </c>
      <c r="L124" t="s">
        <v>44</v>
      </c>
      <c r="M124" t="s">
        <v>22</v>
      </c>
      <c r="N124" t="s">
        <v>51</v>
      </c>
      <c r="O124" s="2">
        <f>_Salesdata[[#This Row],[Unit_Price]] * _Salesdata[[#This Row],[Quantity_Sold]]</f>
        <v>17227.769999999979</v>
      </c>
      <c r="P124" s="2">
        <f>_Salesdata[[#This Row],[Unit_Cost]] * _Salesdata[[#This Row],[Quantity_Sold]]</f>
        <v>13042.05</v>
      </c>
      <c r="Q124" s="2">
        <f>_Salesdata[[#This Row],[Gross_Sales]] - _Salesdata[[#This Row],[Total Cost]]</f>
        <v>4185.7199999999793</v>
      </c>
      <c r="R124" s="2"/>
    </row>
    <row r="125" spans="1:18" x14ac:dyDescent="0.25">
      <c r="A125">
        <v>1024</v>
      </c>
      <c r="B125" s="1">
        <v>45241</v>
      </c>
      <c r="C125" t="s">
        <v>48</v>
      </c>
      <c r="D125" t="s">
        <v>25</v>
      </c>
      <c r="E125" s="2">
        <v>6607.8</v>
      </c>
      <c r="F125">
        <v>21</v>
      </c>
      <c r="G125" t="s">
        <v>31</v>
      </c>
      <c r="H125" s="2">
        <v>622.01</v>
      </c>
      <c r="I125" s="2">
        <v>641.09</v>
      </c>
      <c r="J125" t="s">
        <v>20</v>
      </c>
      <c r="K125">
        <v>0</v>
      </c>
      <c r="L125" t="s">
        <v>44</v>
      </c>
      <c r="M125" t="s">
        <v>32</v>
      </c>
      <c r="N125" t="s">
        <v>49</v>
      </c>
      <c r="O125" s="2">
        <f>_Salesdata[[#This Row],[Unit_Price]] * _Salesdata[[#This Row],[Quantity_Sold]]</f>
        <v>13462.890000000001</v>
      </c>
      <c r="P125" s="2">
        <f>_Salesdata[[#This Row],[Unit_Cost]] * _Salesdata[[#This Row],[Quantity_Sold]]</f>
        <v>13062.21</v>
      </c>
      <c r="Q125" s="2">
        <f>_Salesdata[[#This Row],[Gross_Sales]] - _Salesdata[[#This Row],[Total Cost]]</f>
        <v>400.68000000000211</v>
      </c>
      <c r="R125" s="2"/>
    </row>
    <row r="126" spans="1:18" x14ac:dyDescent="0.25">
      <c r="A126">
        <v>1003</v>
      </c>
      <c r="B126" s="1">
        <v>45044</v>
      </c>
      <c r="C126" t="s">
        <v>35</v>
      </c>
      <c r="D126" t="s">
        <v>40</v>
      </c>
      <c r="E126" s="2">
        <v>5991.8</v>
      </c>
      <c r="F126">
        <v>27</v>
      </c>
      <c r="G126" t="s">
        <v>39</v>
      </c>
      <c r="H126" s="2">
        <v>623.32000000000005</v>
      </c>
      <c r="I126" s="2">
        <v>853.66</v>
      </c>
      <c r="J126" t="s">
        <v>20</v>
      </c>
      <c r="K126">
        <v>0.04</v>
      </c>
      <c r="L126" t="s">
        <v>21</v>
      </c>
      <c r="M126" t="s">
        <v>22</v>
      </c>
      <c r="N126" t="s">
        <v>43</v>
      </c>
      <c r="O126" s="2">
        <f>_Salesdata[[#This Row],[Unit_Price]] * _Salesdata[[#This Row],[Quantity_Sold]]</f>
        <v>23048.82</v>
      </c>
      <c r="P126" s="2">
        <f>_Salesdata[[#This Row],[Unit_Cost]] * _Salesdata[[#This Row],[Quantity_Sold]]</f>
        <v>16829.640000000003</v>
      </c>
      <c r="Q126" s="2">
        <f>_Salesdata[[#This Row],[Gross_Sales]] - _Salesdata[[#This Row],[Total Cost]]</f>
        <v>6219.1799999999967</v>
      </c>
      <c r="R126" s="2"/>
    </row>
    <row r="127" spans="1:18" x14ac:dyDescent="0.25">
      <c r="A127">
        <v>1042</v>
      </c>
      <c r="B127" s="1">
        <v>44957</v>
      </c>
      <c r="C127" t="s">
        <v>24</v>
      </c>
      <c r="D127" t="s">
        <v>37</v>
      </c>
      <c r="E127" s="2">
        <v>5207.03</v>
      </c>
      <c r="F127">
        <v>11</v>
      </c>
      <c r="G127" t="s">
        <v>31</v>
      </c>
      <c r="H127" s="2">
        <v>635.20000000000005</v>
      </c>
      <c r="I127" s="2">
        <v>814.14</v>
      </c>
      <c r="J127" t="s">
        <v>20</v>
      </c>
      <c r="K127">
        <v>0.02</v>
      </c>
      <c r="L127" t="s">
        <v>21</v>
      </c>
      <c r="M127" t="s">
        <v>22</v>
      </c>
      <c r="N127" t="s">
        <v>53</v>
      </c>
      <c r="O127" s="2">
        <f>_Salesdata[[#This Row],[Unit_Price]] * _Salesdata[[#This Row],[Quantity_Sold]]</f>
        <v>8955.5399999999991</v>
      </c>
      <c r="P127" s="2">
        <f>_Salesdata[[#This Row],[Unit_Cost]] * _Salesdata[[#This Row],[Quantity_Sold]]</f>
        <v>6987.2000000000007</v>
      </c>
      <c r="Q127" s="2">
        <f>_Salesdata[[#This Row],[Gross_Sales]] - _Salesdata[[#This Row],[Total Cost]]</f>
        <v>1968.3399999999983</v>
      </c>
      <c r="R127" s="2"/>
    </row>
    <row r="128" spans="1:18" x14ac:dyDescent="0.25">
      <c r="A128">
        <v>1045</v>
      </c>
      <c r="B128" s="1">
        <v>45013</v>
      </c>
      <c r="C128" t="s">
        <v>48</v>
      </c>
      <c r="D128" t="s">
        <v>25</v>
      </c>
      <c r="E128" s="2">
        <v>6792.66</v>
      </c>
      <c r="F128">
        <v>14</v>
      </c>
      <c r="G128" t="s">
        <v>19</v>
      </c>
      <c r="H128" s="2">
        <v>635.28</v>
      </c>
      <c r="I128" s="2">
        <v>831.13</v>
      </c>
      <c r="J128" t="s">
        <v>20</v>
      </c>
      <c r="K128">
        <v>0.17</v>
      </c>
      <c r="L128" t="s">
        <v>44</v>
      </c>
      <c r="M128" t="s">
        <v>32</v>
      </c>
      <c r="N128" t="s">
        <v>49</v>
      </c>
      <c r="O128" s="2">
        <f>_Salesdata[[#This Row],[Unit_Price]] * _Salesdata[[#This Row],[Quantity_Sold]]</f>
        <v>11635.82</v>
      </c>
      <c r="P128" s="2">
        <f>_Salesdata[[#This Row],[Unit_Cost]] * _Salesdata[[#This Row],[Quantity_Sold]]</f>
        <v>8893.92</v>
      </c>
      <c r="Q128" s="2">
        <f>_Salesdata[[#This Row],[Gross_Sales]] - _Salesdata[[#This Row],[Total Cost]]</f>
        <v>2741.8999999999996</v>
      </c>
      <c r="R128" s="2"/>
    </row>
    <row r="129" spans="1:18" x14ac:dyDescent="0.25">
      <c r="A129">
        <v>1061</v>
      </c>
      <c r="B129" s="1">
        <v>45009</v>
      </c>
      <c r="C129" t="s">
        <v>35</v>
      </c>
      <c r="D129" t="s">
        <v>18</v>
      </c>
      <c r="E129" s="2">
        <v>3750.2</v>
      </c>
      <c r="F129">
        <v>13</v>
      </c>
      <c r="G129" t="s">
        <v>26</v>
      </c>
      <c r="H129" s="2">
        <v>637.37</v>
      </c>
      <c r="I129" s="2">
        <v>692.71</v>
      </c>
      <c r="J129" t="s">
        <v>27</v>
      </c>
      <c r="K129">
        <v>0.08</v>
      </c>
      <c r="L129" t="s">
        <v>28</v>
      </c>
      <c r="M129" t="s">
        <v>22</v>
      </c>
      <c r="N129" t="s">
        <v>36</v>
      </c>
      <c r="O129" s="2">
        <f>_Salesdata[[#This Row],[Unit_Price]] * _Salesdata[[#This Row],[Quantity_Sold]]</f>
        <v>9005.23</v>
      </c>
      <c r="P129" s="2">
        <f>_Salesdata[[#This Row],[Unit_Cost]] * _Salesdata[[#This Row],[Quantity_Sold]]</f>
        <v>8285.81</v>
      </c>
      <c r="Q129" s="2">
        <f>_Salesdata[[#This Row],[Gross_Sales]] - _Salesdata[[#This Row],[Total Cost]]</f>
        <v>719.42000000000007</v>
      </c>
      <c r="R129" s="2"/>
    </row>
    <row r="130" spans="1:18" x14ac:dyDescent="0.25">
      <c r="A130">
        <v>1057</v>
      </c>
      <c r="B130" s="1">
        <v>44935</v>
      </c>
      <c r="C130" t="s">
        <v>35</v>
      </c>
      <c r="D130" t="s">
        <v>37</v>
      </c>
      <c r="E130" s="2">
        <v>2114.38</v>
      </c>
      <c r="F130">
        <v>12</v>
      </c>
      <c r="G130" t="s">
        <v>39</v>
      </c>
      <c r="H130" s="2">
        <v>639.16</v>
      </c>
      <c r="I130" s="2">
        <v>746.28</v>
      </c>
      <c r="J130" t="s">
        <v>20</v>
      </c>
      <c r="K130">
        <v>0.04</v>
      </c>
      <c r="L130" t="s">
        <v>44</v>
      </c>
      <c r="M130" t="s">
        <v>32</v>
      </c>
      <c r="N130" t="s">
        <v>38</v>
      </c>
      <c r="O130" s="2">
        <f>_Salesdata[[#This Row],[Unit_Price]] * _Salesdata[[#This Row],[Quantity_Sold]]</f>
        <v>8955.36</v>
      </c>
      <c r="P130" s="2">
        <f>_Salesdata[[#This Row],[Unit_Cost]] * _Salesdata[[#This Row],[Quantity_Sold]]</f>
        <v>7669.92</v>
      </c>
      <c r="Q130" s="2">
        <f>_Salesdata[[#This Row],[Gross_Sales]] - _Salesdata[[#This Row],[Total Cost]]</f>
        <v>1285.4400000000005</v>
      </c>
      <c r="R130" s="2"/>
    </row>
    <row r="131" spans="1:18" x14ac:dyDescent="0.25">
      <c r="A131">
        <v>1088</v>
      </c>
      <c r="B131" s="1">
        <v>45037</v>
      </c>
      <c r="C131" t="s">
        <v>35</v>
      </c>
      <c r="D131" t="s">
        <v>18</v>
      </c>
      <c r="E131" s="2">
        <v>456.59</v>
      </c>
      <c r="F131">
        <v>29</v>
      </c>
      <c r="G131" t="s">
        <v>39</v>
      </c>
      <c r="H131" s="2">
        <v>639.58000000000004</v>
      </c>
      <c r="I131" s="2">
        <v>1107.45</v>
      </c>
      <c r="J131" t="s">
        <v>27</v>
      </c>
      <c r="K131">
        <v>0.28999999999999998</v>
      </c>
      <c r="L131" t="s">
        <v>21</v>
      </c>
      <c r="M131" t="s">
        <v>32</v>
      </c>
      <c r="N131" t="s">
        <v>36</v>
      </c>
      <c r="O131" s="2">
        <f>_Salesdata[[#This Row],[Unit_Price]] * _Salesdata[[#This Row],[Quantity_Sold]]</f>
        <v>32116.050000000003</v>
      </c>
      <c r="P131" s="2">
        <f>_Salesdata[[#This Row],[Unit_Cost]] * _Salesdata[[#This Row],[Quantity_Sold]]</f>
        <v>18547.82</v>
      </c>
      <c r="Q131" s="2">
        <f>_Salesdata[[#This Row],[Gross_Sales]] - _Salesdata[[#This Row],[Total Cost]]</f>
        <v>13568.230000000003</v>
      </c>
      <c r="R131" s="2"/>
    </row>
    <row r="132" spans="1:18" x14ac:dyDescent="0.25">
      <c r="A132">
        <v>1017</v>
      </c>
      <c r="B132" s="1">
        <v>45228</v>
      </c>
      <c r="C132" t="s">
        <v>48</v>
      </c>
      <c r="D132" t="s">
        <v>18</v>
      </c>
      <c r="E132" s="2">
        <v>2141.9</v>
      </c>
      <c r="F132">
        <v>1</v>
      </c>
      <c r="G132" t="s">
        <v>39</v>
      </c>
      <c r="H132" s="2">
        <v>641.67999999999995</v>
      </c>
      <c r="I132" s="2">
        <v>752.24</v>
      </c>
      <c r="J132" t="s">
        <v>27</v>
      </c>
      <c r="K132">
        <v>0.22</v>
      </c>
      <c r="L132" t="s">
        <v>44</v>
      </c>
      <c r="M132" t="s">
        <v>22</v>
      </c>
      <c r="N132" t="s">
        <v>54</v>
      </c>
      <c r="O132" s="2">
        <f>_Salesdata[[#This Row],[Unit_Price]] * _Salesdata[[#This Row],[Quantity_Sold]]</f>
        <v>752.24</v>
      </c>
      <c r="P132" s="2">
        <f>_Salesdata[[#This Row],[Unit_Cost]] * _Salesdata[[#This Row],[Quantity_Sold]]</f>
        <v>641.67999999999995</v>
      </c>
      <c r="Q132" s="2">
        <f>_Salesdata[[#This Row],[Gross_Sales]] - _Salesdata[[#This Row],[Total Cost]]</f>
        <v>110.56000000000006</v>
      </c>
      <c r="R132" s="2"/>
    </row>
    <row r="133" spans="1:18" x14ac:dyDescent="0.25">
      <c r="A133">
        <v>1060</v>
      </c>
      <c r="B133" s="1">
        <v>45206</v>
      </c>
      <c r="C133" t="s">
        <v>24</v>
      </c>
      <c r="D133" t="s">
        <v>40</v>
      </c>
      <c r="E133" s="2">
        <v>6453.17</v>
      </c>
      <c r="F133">
        <v>23</v>
      </c>
      <c r="G133" t="s">
        <v>26</v>
      </c>
      <c r="H133" s="2">
        <v>647.70000000000005</v>
      </c>
      <c r="I133" s="2">
        <v>902.26</v>
      </c>
      <c r="J133" t="s">
        <v>27</v>
      </c>
      <c r="K133">
        <v>0.17</v>
      </c>
      <c r="L133" t="s">
        <v>44</v>
      </c>
      <c r="M133" t="s">
        <v>22</v>
      </c>
      <c r="N133" t="s">
        <v>55</v>
      </c>
      <c r="O133" s="2">
        <f>_Salesdata[[#This Row],[Unit_Price]] * _Salesdata[[#This Row],[Quantity_Sold]]</f>
        <v>20751.98</v>
      </c>
      <c r="P133" s="2">
        <f>_Salesdata[[#This Row],[Unit_Cost]] * _Salesdata[[#This Row],[Quantity_Sold]]</f>
        <v>14897.1</v>
      </c>
      <c r="Q133" s="2">
        <f>_Salesdata[[#This Row],[Gross_Sales]] - _Salesdata[[#This Row],[Total Cost]]</f>
        <v>5854.8799999999992</v>
      </c>
      <c r="R133" s="2"/>
    </row>
    <row r="134" spans="1:18" x14ac:dyDescent="0.25">
      <c r="A134">
        <v>1032</v>
      </c>
      <c r="B134" s="1">
        <v>45245</v>
      </c>
      <c r="C134" t="s">
        <v>24</v>
      </c>
      <c r="D134" t="s">
        <v>25</v>
      </c>
      <c r="E134" s="2">
        <v>9413.77</v>
      </c>
      <c r="F134">
        <v>1</v>
      </c>
      <c r="G134" t="s">
        <v>31</v>
      </c>
      <c r="H134" s="2">
        <v>651</v>
      </c>
      <c r="I134" s="2">
        <v>865.76</v>
      </c>
      <c r="J134" t="s">
        <v>20</v>
      </c>
      <c r="K134">
        <v>0.09</v>
      </c>
      <c r="L134" t="s">
        <v>44</v>
      </c>
      <c r="M134" t="s">
        <v>32</v>
      </c>
      <c r="N134" t="s">
        <v>29</v>
      </c>
      <c r="O134" s="2">
        <f>_Salesdata[[#This Row],[Unit_Price]] * _Salesdata[[#This Row],[Quantity_Sold]]</f>
        <v>865.76</v>
      </c>
      <c r="P134" s="2">
        <f>_Salesdata[[#This Row],[Unit_Cost]] * _Salesdata[[#This Row],[Quantity_Sold]]</f>
        <v>651</v>
      </c>
      <c r="Q134" s="2">
        <f>_Salesdata[[#This Row],[Gross_Sales]] - _Salesdata[[#This Row],[Total Cost]]</f>
        <v>214.76</v>
      </c>
      <c r="R134" s="2"/>
    </row>
    <row r="135" spans="1:18" x14ac:dyDescent="0.25">
      <c r="A135">
        <v>1070</v>
      </c>
      <c r="B135" s="1">
        <v>44927</v>
      </c>
      <c r="C135" t="s">
        <v>48</v>
      </c>
      <c r="D135" t="s">
        <v>40</v>
      </c>
      <c r="E135" s="2">
        <v>783.18</v>
      </c>
      <c r="F135">
        <v>12</v>
      </c>
      <c r="G135" t="s">
        <v>39</v>
      </c>
      <c r="H135" s="2">
        <v>664.33</v>
      </c>
      <c r="I135" s="2">
        <v>863.03</v>
      </c>
      <c r="J135" t="s">
        <v>20</v>
      </c>
      <c r="K135">
        <v>0.25</v>
      </c>
      <c r="L135" t="s">
        <v>44</v>
      </c>
      <c r="M135" t="s">
        <v>32</v>
      </c>
      <c r="N135" t="s">
        <v>50</v>
      </c>
      <c r="O135" s="2">
        <f>_Salesdata[[#This Row],[Unit_Price]] * _Salesdata[[#This Row],[Quantity_Sold]]</f>
        <v>10356.36</v>
      </c>
      <c r="P135" s="2">
        <f>_Salesdata[[#This Row],[Unit_Cost]] * _Salesdata[[#This Row],[Quantity_Sold]]</f>
        <v>7971.9600000000009</v>
      </c>
      <c r="Q135" s="2">
        <f>_Salesdata[[#This Row],[Gross_Sales]] - _Salesdata[[#This Row],[Total Cost]]</f>
        <v>2384.3999999999996</v>
      </c>
      <c r="R135" s="2"/>
    </row>
    <row r="136" spans="1:18" x14ac:dyDescent="0.25">
      <c r="A136">
        <v>1023</v>
      </c>
      <c r="B136" s="1">
        <v>45119</v>
      </c>
      <c r="C136" t="s">
        <v>24</v>
      </c>
      <c r="D136" t="s">
        <v>37</v>
      </c>
      <c r="E136" s="2">
        <v>5051.12</v>
      </c>
      <c r="F136">
        <v>2</v>
      </c>
      <c r="G136" t="s">
        <v>31</v>
      </c>
      <c r="H136" s="2">
        <v>665.89</v>
      </c>
      <c r="I136" s="2">
        <v>944.79</v>
      </c>
      <c r="J136" t="s">
        <v>27</v>
      </c>
      <c r="K136">
        <v>0.1</v>
      </c>
      <c r="L136" t="s">
        <v>28</v>
      </c>
      <c r="M136" t="s">
        <v>32</v>
      </c>
      <c r="N136" t="s">
        <v>53</v>
      </c>
      <c r="O136" s="2">
        <f>_Salesdata[[#This Row],[Unit_Price]] * _Salesdata[[#This Row],[Quantity_Sold]]</f>
        <v>1889.58</v>
      </c>
      <c r="P136" s="2">
        <f>_Salesdata[[#This Row],[Unit_Cost]] * _Salesdata[[#This Row],[Quantity_Sold]]</f>
        <v>1331.78</v>
      </c>
      <c r="Q136" s="2">
        <f>_Salesdata[[#This Row],[Gross_Sales]] - _Salesdata[[#This Row],[Total Cost]]</f>
        <v>557.79999999999995</v>
      </c>
      <c r="R136" s="2"/>
    </row>
    <row r="137" spans="1:18" x14ac:dyDescent="0.25">
      <c r="A137">
        <v>1039</v>
      </c>
      <c r="B137" s="1">
        <v>45188</v>
      </c>
      <c r="C137" t="s">
        <v>17</v>
      </c>
      <c r="D137" t="s">
        <v>40</v>
      </c>
      <c r="E137" s="2">
        <v>4306.0200000000004</v>
      </c>
      <c r="F137">
        <v>28</v>
      </c>
      <c r="G137" t="s">
        <v>19</v>
      </c>
      <c r="H137" s="2">
        <v>666.84</v>
      </c>
      <c r="I137" s="2">
        <v>817.36</v>
      </c>
      <c r="J137" t="s">
        <v>20</v>
      </c>
      <c r="K137">
        <v>0.02</v>
      </c>
      <c r="L137" t="s">
        <v>21</v>
      </c>
      <c r="M137" t="s">
        <v>32</v>
      </c>
      <c r="N137" t="s">
        <v>42</v>
      </c>
      <c r="O137" s="2">
        <f>_Salesdata[[#This Row],[Unit_Price]] * _Salesdata[[#This Row],[Quantity_Sold]]</f>
        <v>22886.080000000002</v>
      </c>
      <c r="P137" s="2">
        <f>_Salesdata[[#This Row],[Unit_Cost]] * _Salesdata[[#This Row],[Quantity_Sold]]</f>
        <v>18671.52</v>
      </c>
      <c r="Q137" s="2">
        <f>_Salesdata[[#This Row],[Gross_Sales]] - _Salesdata[[#This Row],[Total Cost]]</f>
        <v>4214.5600000000013</v>
      </c>
      <c r="R137" s="2"/>
    </row>
    <row r="138" spans="1:18" x14ac:dyDescent="0.25">
      <c r="A138">
        <v>1001</v>
      </c>
      <c r="B138" s="1">
        <v>45244</v>
      </c>
      <c r="C138" t="s">
        <v>30</v>
      </c>
      <c r="D138" t="s">
        <v>37</v>
      </c>
      <c r="E138" s="2">
        <v>4944.99</v>
      </c>
      <c r="F138">
        <v>36</v>
      </c>
      <c r="G138" t="s">
        <v>39</v>
      </c>
      <c r="H138" s="2">
        <v>666.84</v>
      </c>
      <c r="I138" s="2">
        <v>682.24</v>
      </c>
      <c r="J138" t="s">
        <v>27</v>
      </c>
      <c r="K138">
        <v>0.16</v>
      </c>
      <c r="L138" t="s">
        <v>44</v>
      </c>
      <c r="M138" t="s">
        <v>32</v>
      </c>
      <c r="N138" t="s">
        <v>51</v>
      </c>
      <c r="O138" s="2">
        <f>_Salesdata[[#This Row],[Unit_Price]] * _Salesdata[[#This Row],[Quantity_Sold]]</f>
        <v>24560.639999999999</v>
      </c>
      <c r="P138" s="2">
        <f>_Salesdata[[#This Row],[Unit_Cost]] * _Salesdata[[#This Row],[Quantity_Sold]]</f>
        <v>24006.240000000002</v>
      </c>
      <c r="Q138" s="2">
        <f>_Salesdata[[#This Row],[Gross_Sales]] - _Salesdata[[#This Row],[Total Cost]]</f>
        <v>554.39999999999782</v>
      </c>
      <c r="R138" s="2"/>
    </row>
    <row r="139" spans="1:18" x14ac:dyDescent="0.25">
      <c r="A139">
        <v>1034</v>
      </c>
      <c r="B139" s="1">
        <v>44968</v>
      </c>
      <c r="C139" t="s">
        <v>48</v>
      </c>
      <c r="D139" t="s">
        <v>40</v>
      </c>
      <c r="E139" s="2">
        <v>2082.79</v>
      </c>
      <c r="F139">
        <v>26</v>
      </c>
      <c r="G139" t="s">
        <v>26</v>
      </c>
      <c r="H139" s="2">
        <v>667</v>
      </c>
      <c r="I139" s="2">
        <v>718.72</v>
      </c>
      <c r="J139" t="s">
        <v>27</v>
      </c>
      <c r="K139">
        <v>0.2</v>
      </c>
      <c r="L139" t="s">
        <v>21</v>
      </c>
      <c r="M139" t="s">
        <v>32</v>
      </c>
      <c r="N139" t="s">
        <v>50</v>
      </c>
      <c r="O139" s="2">
        <f>_Salesdata[[#This Row],[Unit_Price]] * _Salesdata[[#This Row],[Quantity_Sold]]</f>
        <v>18686.72</v>
      </c>
      <c r="P139" s="2">
        <f>_Salesdata[[#This Row],[Unit_Cost]] * _Salesdata[[#This Row],[Quantity_Sold]]</f>
        <v>17342</v>
      </c>
      <c r="Q139" s="2">
        <f>_Salesdata[[#This Row],[Gross_Sales]] - _Salesdata[[#This Row],[Total Cost]]</f>
        <v>1344.7200000000012</v>
      </c>
      <c r="R139" s="2"/>
    </row>
    <row r="140" spans="1:18" x14ac:dyDescent="0.25">
      <c r="A140">
        <v>1092</v>
      </c>
      <c r="B140" s="1">
        <v>45071</v>
      </c>
      <c r="C140" t="s">
        <v>17</v>
      </c>
      <c r="D140" t="s">
        <v>18</v>
      </c>
      <c r="E140" s="2">
        <v>9220.94</v>
      </c>
      <c r="F140">
        <v>20</v>
      </c>
      <c r="G140" t="s">
        <v>31</v>
      </c>
      <c r="H140" s="2">
        <v>668.11</v>
      </c>
      <c r="I140" s="2">
        <v>803.49</v>
      </c>
      <c r="J140" t="s">
        <v>27</v>
      </c>
      <c r="K140">
        <v>0.21</v>
      </c>
      <c r="L140" t="s">
        <v>44</v>
      </c>
      <c r="M140" t="s">
        <v>22</v>
      </c>
      <c r="N140" t="s">
        <v>23</v>
      </c>
      <c r="O140" s="2">
        <f>_Salesdata[[#This Row],[Unit_Price]] * _Salesdata[[#This Row],[Quantity_Sold]]</f>
        <v>16069.8</v>
      </c>
      <c r="P140" s="2">
        <f>_Salesdata[[#This Row],[Unit_Cost]] * _Salesdata[[#This Row],[Quantity_Sold]]</f>
        <v>13362.2</v>
      </c>
      <c r="Q140" s="2">
        <f>_Salesdata[[#This Row],[Gross_Sales]] - _Salesdata[[#This Row],[Total Cost]]</f>
        <v>2707.5999999999985</v>
      </c>
      <c r="R140" s="2"/>
    </row>
    <row r="141" spans="1:18" x14ac:dyDescent="0.25">
      <c r="A141">
        <v>1016</v>
      </c>
      <c r="B141" s="1">
        <v>45003</v>
      </c>
      <c r="C141" t="s">
        <v>30</v>
      </c>
      <c r="D141" t="s">
        <v>40</v>
      </c>
      <c r="E141" s="2">
        <v>485.9</v>
      </c>
      <c r="F141">
        <v>4</v>
      </c>
      <c r="G141" t="s">
        <v>31</v>
      </c>
      <c r="H141" s="2">
        <v>688.98</v>
      </c>
      <c r="I141" s="2">
        <v>863.81</v>
      </c>
      <c r="J141" t="s">
        <v>27</v>
      </c>
      <c r="K141">
        <v>0.27</v>
      </c>
      <c r="L141" t="s">
        <v>28</v>
      </c>
      <c r="M141" t="s">
        <v>32</v>
      </c>
      <c r="N141" t="s">
        <v>41</v>
      </c>
      <c r="O141" s="2">
        <f>_Salesdata[[#This Row],[Unit_Price]] * _Salesdata[[#This Row],[Quantity_Sold]]</f>
        <v>3455.24</v>
      </c>
      <c r="P141" s="2">
        <f>_Salesdata[[#This Row],[Unit_Cost]] * _Salesdata[[#This Row],[Quantity_Sold]]</f>
        <v>2755.92</v>
      </c>
      <c r="Q141" s="2">
        <f>_Salesdata[[#This Row],[Gross_Sales]] - _Salesdata[[#This Row],[Total Cost]]</f>
        <v>699.31999999999971</v>
      </c>
      <c r="R141" s="2"/>
    </row>
    <row r="142" spans="1:18" x14ac:dyDescent="0.25">
      <c r="A142">
        <v>1067</v>
      </c>
      <c r="B142" s="1">
        <v>45109</v>
      </c>
      <c r="C142" t="s">
        <v>24</v>
      </c>
      <c r="D142" t="s">
        <v>37</v>
      </c>
      <c r="E142" s="2">
        <v>8602.2900000000009</v>
      </c>
      <c r="F142">
        <v>36</v>
      </c>
      <c r="G142" t="s">
        <v>26</v>
      </c>
      <c r="H142" s="2">
        <v>689.66</v>
      </c>
      <c r="I142" s="2">
        <v>1150.28</v>
      </c>
      <c r="J142" t="s">
        <v>27</v>
      </c>
      <c r="K142">
        <v>0.2</v>
      </c>
      <c r="L142" t="s">
        <v>44</v>
      </c>
      <c r="M142" t="s">
        <v>22</v>
      </c>
      <c r="N142" t="s">
        <v>53</v>
      </c>
      <c r="O142" s="2">
        <f>_Salesdata[[#This Row],[Unit_Price]] * _Salesdata[[#This Row],[Quantity_Sold]]</f>
        <v>41410.080000000002</v>
      </c>
      <c r="P142" s="2">
        <f>_Salesdata[[#This Row],[Unit_Cost]] * _Salesdata[[#This Row],[Quantity_Sold]]</f>
        <v>24827.759999999998</v>
      </c>
      <c r="Q142" s="2">
        <f>_Salesdata[[#This Row],[Gross_Sales]] - _Salesdata[[#This Row],[Total Cost]]</f>
        <v>16582.320000000003</v>
      </c>
      <c r="R142" s="2"/>
    </row>
    <row r="143" spans="1:18" x14ac:dyDescent="0.25">
      <c r="A143">
        <v>1087</v>
      </c>
      <c r="B143" s="1">
        <v>45235</v>
      </c>
      <c r="C143" t="s">
        <v>48</v>
      </c>
      <c r="D143" t="s">
        <v>18</v>
      </c>
      <c r="E143" s="2">
        <v>2106.06</v>
      </c>
      <c r="F143">
        <v>30</v>
      </c>
      <c r="G143" t="s">
        <v>26</v>
      </c>
      <c r="H143" s="2">
        <v>698.74</v>
      </c>
      <c r="I143" s="2">
        <v>882.28</v>
      </c>
      <c r="J143" t="s">
        <v>20</v>
      </c>
      <c r="K143">
        <v>0.15</v>
      </c>
      <c r="L143" t="s">
        <v>28</v>
      </c>
      <c r="M143" t="s">
        <v>22</v>
      </c>
      <c r="N143" t="s">
        <v>54</v>
      </c>
      <c r="O143" s="2">
        <f>_Salesdata[[#This Row],[Unit_Price]] * _Salesdata[[#This Row],[Quantity_Sold]]</f>
        <v>26468.399999999998</v>
      </c>
      <c r="P143" s="2">
        <f>_Salesdata[[#This Row],[Unit_Cost]] * _Salesdata[[#This Row],[Quantity_Sold]]</f>
        <v>20962.2</v>
      </c>
      <c r="Q143" s="2">
        <f>_Salesdata[[#This Row],[Gross_Sales]] - _Salesdata[[#This Row],[Total Cost]]</f>
        <v>5506.1999999999971</v>
      </c>
      <c r="R143" s="2"/>
    </row>
    <row r="144" spans="1:18" x14ac:dyDescent="0.25">
      <c r="A144">
        <v>1036</v>
      </c>
      <c r="B144" s="1">
        <v>45250</v>
      </c>
      <c r="C144" t="s">
        <v>24</v>
      </c>
      <c r="D144" t="s">
        <v>18</v>
      </c>
      <c r="E144" s="2">
        <v>5454.96</v>
      </c>
      <c r="F144">
        <v>32</v>
      </c>
      <c r="G144" t="s">
        <v>19</v>
      </c>
      <c r="H144" s="2">
        <v>700.49</v>
      </c>
      <c r="I144" s="2">
        <v>1126.52</v>
      </c>
      <c r="J144" t="s">
        <v>27</v>
      </c>
      <c r="K144">
        <v>0.28999999999999998</v>
      </c>
      <c r="L144" t="s">
        <v>28</v>
      </c>
      <c r="M144" t="s">
        <v>32</v>
      </c>
      <c r="N144" t="s">
        <v>46</v>
      </c>
      <c r="O144" s="2">
        <f>_Salesdata[[#This Row],[Unit_Price]] * _Salesdata[[#This Row],[Quantity_Sold]]</f>
        <v>36048.639999999999</v>
      </c>
      <c r="P144" s="2">
        <f>_Salesdata[[#This Row],[Unit_Cost]] * _Salesdata[[#This Row],[Quantity_Sold]]</f>
        <v>22415.68</v>
      </c>
      <c r="Q144" s="2">
        <f>_Salesdata[[#This Row],[Gross_Sales]] - _Salesdata[[#This Row],[Total Cost]]</f>
        <v>13632.96</v>
      </c>
      <c r="R144" s="2"/>
    </row>
    <row r="145" spans="1:18" x14ac:dyDescent="0.25">
      <c r="A145">
        <v>1048</v>
      </c>
      <c r="B145" s="1">
        <v>44938</v>
      </c>
      <c r="C145" t="s">
        <v>35</v>
      </c>
      <c r="D145" t="s">
        <v>18</v>
      </c>
      <c r="E145" s="2">
        <v>6482.98</v>
      </c>
      <c r="F145">
        <v>47</v>
      </c>
      <c r="G145" t="s">
        <v>19</v>
      </c>
      <c r="H145" s="2">
        <v>702.44</v>
      </c>
      <c r="I145" s="2">
        <v>1067.6600000000001</v>
      </c>
      <c r="J145" t="s">
        <v>27</v>
      </c>
      <c r="K145">
        <v>0.24</v>
      </c>
      <c r="L145" t="s">
        <v>21</v>
      </c>
      <c r="M145" t="s">
        <v>32</v>
      </c>
      <c r="N145" t="s">
        <v>36</v>
      </c>
      <c r="O145" s="2">
        <f>_Salesdata[[#This Row],[Unit_Price]] * _Salesdata[[#This Row],[Quantity_Sold]]</f>
        <v>50180.020000000004</v>
      </c>
      <c r="P145" s="2">
        <f>_Salesdata[[#This Row],[Unit_Cost]] * _Salesdata[[#This Row],[Quantity_Sold]]</f>
        <v>33014.68</v>
      </c>
      <c r="Q145" s="2">
        <f>_Salesdata[[#This Row],[Gross_Sales]] - _Salesdata[[#This Row],[Total Cost]]</f>
        <v>17165.340000000004</v>
      </c>
      <c r="R145" s="2"/>
    </row>
    <row r="146" spans="1:18" x14ac:dyDescent="0.25">
      <c r="A146">
        <v>1012</v>
      </c>
      <c r="B146" s="1">
        <v>45034</v>
      </c>
      <c r="C146" t="s">
        <v>24</v>
      </c>
      <c r="D146" t="s">
        <v>40</v>
      </c>
      <c r="E146" s="2">
        <v>1874.61</v>
      </c>
      <c r="F146">
        <v>9</v>
      </c>
      <c r="G146" t="s">
        <v>26</v>
      </c>
      <c r="H146" s="2">
        <v>709.97</v>
      </c>
      <c r="I146" s="2">
        <v>1029.71</v>
      </c>
      <c r="J146" t="s">
        <v>20</v>
      </c>
      <c r="K146">
        <v>0.13</v>
      </c>
      <c r="L146" t="s">
        <v>44</v>
      </c>
      <c r="M146" t="s">
        <v>32</v>
      </c>
      <c r="N146" t="s">
        <v>55</v>
      </c>
      <c r="O146" s="2">
        <f>_Salesdata[[#This Row],[Unit_Price]] * _Salesdata[[#This Row],[Quantity_Sold]]</f>
        <v>9267.39</v>
      </c>
      <c r="P146" s="2">
        <f>_Salesdata[[#This Row],[Unit_Cost]] * _Salesdata[[#This Row],[Quantity_Sold]]</f>
        <v>6389.7300000000005</v>
      </c>
      <c r="Q146" s="2">
        <f>_Salesdata[[#This Row],[Gross_Sales]] - _Salesdata[[#This Row],[Total Cost]]</f>
        <v>2877.6599999999989</v>
      </c>
      <c r="R146" s="2"/>
    </row>
    <row r="147" spans="1:18" x14ac:dyDescent="0.25">
      <c r="A147">
        <v>1050</v>
      </c>
      <c r="B147" s="1">
        <v>44968</v>
      </c>
      <c r="C147" t="s">
        <v>35</v>
      </c>
      <c r="D147" t="s">
        <v>25</v>
      </c>
      <c r="E147" s="2">
        <v>1011.46</v>
      </c>
      <c r="F147">
        <v>48</v>
      </c>
      <c r="G147" t="s">
        <v>39</v>
      </c>
      <c r="H147" s="2">
        <v>710.06</v>
      </c>
      <c r="I147" s="2">
        <v>851.349999999999</v>
      </c>
      <c r="J147" t="s">
        <v>20</v>
      </c>
      <c r="K147">
        <v>0.04</v>
      </c>
      <c r="L147" t="s">
        <v>44</v>
      </c>
      <c r="M147" t="s">
        <v>22</v>
      </c>
      <c r="N147" t="s">
        <v>56</v>
      </c>
      <c r="O147" s="2">
        <f>_Salesdata[[#This Row],[Unit_Price]] * _Salesdata[[#This Row],[Quantity_Sold]]</f>
        <v>40864.799999999952</v>
      </c>
      <c r="P147" s="2">
        <f>_Salesdata[[#This Row],[Unit_Cost]] * _Salesdata[[#This Row],[Quantity_Sold]]</f>
        <v>34082.879999999997</v>
      </c>
      <c r="Q147" s="2">
        <f>_Salesdata[[#This Row],[Gross_Sales]] - _Salesdata[[#This Row],[Total Cost]]</f>
        <v>6781.9199999999546</v>
      </c>
      <c r="R147" s="2"/>
    </row>
    <row r="148" spans="1:18" x14ac:dyDescent="0.25">
      <c r="A148">
        <v>1072</v>
      </c>
      <c r="B148" s="1">
        <v>45159</v>
      </c>
      <c r="C148" t="s">
        <v>24</v>
      </c>
      <c r="D148" t="s">
        <v>25</v>
      </c>
      <c r="E148" s="2">
        <v>8271.6200000000008</v>
      </c>
      <c r="F148">
        <v>12</v>
      </c>
      <c r="G148" t="s">
        <v>19</v>
      </c>
      <c r="H148" s="2">
        <v>710.99</v>
      </c>
      <c r="I148" s="2">
        <v>876.46</v>
      </c>
      <c r="J148" t="s">
        <v>20</v>
      </c>
      <c r="K148">
        <v>0.03</v>
      </c>
      <c r="L148" t="s">
        <v>28</v>
      </c>
      <c r="M148" t="s">
        <v>22</v>
      </c>
      <c r="N148" t="s">
        <v>29</v>
      </c>
      <c r="O148" s="2">
        <f>_Salesdata[[#This Row],[Unit_Price]] * _Salesdata[[#This Row],[Quantity_Sold]]</f>
        <v>10517.52</v>
      </c>
      <c r="P148" s="2">
        <f>_Salesdata[[#This Row],[Unit_Cost]] * _Salesdata[[#This Row],[Quantity_Sold]]</f>
        <v>8531.880000000001</v>
      </c>
      <c r="Q148" s="2">
        <f>_Salesdata[[#This Row],[Gross_Sales]] - _Salesdata[[#This Row],[Total Cost]]</f>
        <v>1985.6399999999994</v>
      </c>
      <c r="R148" s="2"/>
    </row>
    <row r="149" spans="1:18" x14ac:dyDescent="0.25">
      <c r="A149">
        <v>1098</v>
      </c>
      <c r="B149" s="1">
        <v>45217</v>
      </c>
      <c r="C149" t="s">
        <v>48</v>
      </c>
      <c r="D149" t="s">
        <v>25</v>
      </c>
      <c r="E149" s="2">
        <v>1600.79</v>
      </c>
      <c r="F149">
        <v>21</v>
      </c>
      <c r="G149" t="s">
        <v>39</v>
      </c>
      <c r="H149" s="2">
        <v>725.03</v>
      </c>
      <c r="I149" s="2">
        <v>828.94999999999902</v>
      </c>
      <c r="J149" t="s">
        <v>27</v>
      </c>
      <c r="K149">
        <v>0.18</v>
      </c>
      <c r="L149" t="s">
        <v>44</v>
      </c>
      <c r="M149" t="s">
        <v>22</v>
      </c>
      <c r="N149" t="s">
        <v>49</v>
      </c>
      <c r="O149" s="2">
        <f>_Salesdata[[#This Row],[Unit_Price]] * _Salesdata[[#This Row],[Quantity_Sold]]</f>
        <v>17407.949999999979</v>
      </c>
      <c r="P149" s="2">
        <f>_Salesdata[[#This Row],[Unit_Cost]] * _Salesdata[[#This Row],[Quantity_Sold]]</f>
        <v>15225.63</v>
      </c>
      <c r="Q149" s="2">
        <f>_Salesdata[[#This Row],[Gross_Sales]] - _Salesdata[[#This Row],[Total Cost]]</f>
        <v>2182.3199999999797</v>
      </c>
      <c r="R149" s="2"/>
    </row>
    <row r="150" spans="1:18" x14ac:dyDescent="0.25">
      <c r="A150">
        <v>1093</v>
      </c>
      <c r="B150" s="1">
        <v>45054</v>
      </c>
      <c r="C150" t="s">
        <v>17</v>
      </c>
      <c r="D150" t="s">
        <v>18</v>
      </c>
      <c r="E150" s="2">
        <v>5272.85</v>
      </c>
      <c r="F150">
        <v>17</v>
      </c>
      <c r="G150" t="s">
        <v>39</v>
      </c>
      <c r="H150" s="2">
        <v>727.38</v>
      </c>
      <c r="I150" s="2">
        <v>764.54</v>
      </c>
      <c r="J150" t="s">
        <v>20</v>
      </c>
      <c r="K150">
        <v>0.17</v>
      </c>
      <c r="L150" t="s">
        <v>28</v>
      </c>
      <c r="M150" t="s">
        <v>32</v>
      </c>
      <c r="N150" t="s">
        <v>23</v>
      </c>
      <c r="O150" s="2">
        <f>_Salesdata[[#This Row],[Unit_Price]] * _Salesdata[[#This Row],[Quantity_Sold]]</f>
        <v>12997.18</v>
      </c>
      <c r="P150" s="2">
        <f>_Salesdata[[#This Row],[Unit_Cost]] * _Salesdata[[#This Row],[Quantity_Sold]]</f>
        <v>12365.46</v>
      </c>
      <c r="Q150" s="2">
        <f>_Salesdata[[#This Row],[Gross_Sales]] - _Salesdata[[#This Row],[Total Cost]]</f>
        <v>631.72000000000116</v>
      </c>
      <c r="R150" s="2"/>
    </row>
    <row r="151" spans="1:18" x14ac:dyDescent="0.25">
      <c r="A151">
        <v>1017</v>
      </c>
      <c r="B151" s="1">
        <v>44964</v>
      </c>
      <c r="C151" t="s">
        <v>35</v>
      </c>
      <c r="D151" t="s">
        <v>25</v>
      </c>
      <c r="E151" s="2">
        <v>7542.3</v>
      </c>
      <c r="F151">
        <v>2</v>
      </c>
      <c r="G151" t="s">
        <v>31</v>
      </c>
      <c r="H151" s="2">
        <v>728.41</v>
      </c>
      <c r="I151" s="2">
        <v>1094.92</v>
      </c>
      <c r="J151" t="s">
        <v>27</v>
      </c>
      <c r="K151">
        <v>0.24</v>
      </c>
      <c r="L151" t="s">
        <v>21</v>
      </c>
      <c r="M151" t="s">
        <v>32</v>
      </c>
      <c r="N151" t="s">
        <v>56</v>
      </c>
      <c r="O151" s="2">
        <f>_Salesdata[[#This Row],[Unit_Price]] * _Salesdata[[#This Row],[Quantity_Sold]]</f>
        <v>2189.84</v>
      </c>
      <c r="P151" s="2">
        <f>_Salesdata[[#This Row],[Unit_Cost]] * _Salesdata[[#This Row],[Quantity_Sold]]</f>
        <v>1456.82</v>
      </c>
      <c r="Q151" s="2">
        <f>_Salesdata[[#This Row],[Gross_Sales]] - _Salesdata[[#This Row],[Total Cost]]</f>
        <v>733.02000000000021</v>
      </c>
      <c r="R151" s="2"/>
    </row>
    <row r="152" spans="1:18" x14ac:dyDescent="0.25">
      <c r="A152">
        <v>1095</v>
      </c>
      <c r="B152" s="1">
        <v>45162</v>
      </c>
      <c r="C152" t="s">
        <v>17</v>
      </c>
      <c r="D152" t="s">
        <v>25</v>
      </c>
      <c r="E152" s="2">
        <v>2825.35</v>
      </c>
      <c r="F152">
        <v>20</v>
      </c>
      <c r="G152" t="s">
        <v>31</v>
      </c>
      <c r="H152" s="2">
        <v>729.27</v>
      </c>
      <c r="I152" s="2">
        <v>999.18</v>
      </c>
      <c r="J152" t="s">
        <v>27</v>
      </c>
      <c r="K152">
        <v>0.1</v>
      </c>
      <c r="L152" t="s">
        <v>44</v>
      </c>
      <c r="M152" t="s">
        <v>22</v>
      </c>
      <c r="N152" t="s">
        <v>34</v>
      </c>
      <c r="O152" s="2">
        <f>_Salesdata[[#This Row],[Unit_Price]] * _Salesdata[[#This Row],[Quantity_Sold]]</f>
        <v>19983.599999999999</v>
      </c>
      <c r="P152" s="2">
        <f>_Salesdata[[#This Row],[Unit_Cost]] * _Salesdata[[#This Row],[Quantity_Sold]]</f>
        <v>14585.4</v>
      </c>
      <c r="Q152" s="2">
        <f>_Salesdata[[#This Row],[Gross_Sales]] - _Salesdata[[#This Row],[Total Cost]]</f>
        <v>5398.1999999999989</v>
      </c>
      <c r="R152" s="2"/>
    </row>
    <row r="153" spans="1:18" x14ac:dyDescent="0.25">
      <c r="A153">
        <v>1028</v>
      </c>
      <c r="B153" s="1">
        <v>45250</v>
      </c>
      <c r="C153" t="s">
        <v>24</v>
      </c>
      <c r="D153" t="s">
        <v>18</v>
      </c>
      <c r="E153" s="2">
        <v>388.78</v>
      </c>
      <c r="F153">
        <v>5</v>
      </c>
      <c r="G153" t="s">
        <v>31</v>
      </c>
      <c r="H153" s="2">
        <v>734.92</v>
      </c>
      <c r="I153" s="2">
        <v>991.21</v>
      </c>
      <c r="J153" t="s">
        <v>20</v>
      </c>
      <c r="K153">
        <v>0.21</v>
      </c>
      <c r="L153" t="s">
        <v>28</v>
      </c>
      <c r="M153" t="s">
        <v>22</v>
      </c>
      <c r="N153" t="s">
        <v>46</v>
      </c>
      <c r="O153" s="2">
        <f>_Salesdata[[#This Row],[Unit_Price]] * _Salesdata[[#This Row],[Quantity_Sold]]</f>
        <v>4956.05</v>
      </c>
      <c r="P153" s="2">
        <f>_Salesdata[[#This Row],[Unit_Cost]] * _Salesdata[[#This Row],[Quantity_Sold]]</f>
        <v>3674.6</v>
      </c>
      <c r="Q153" s="2">
        <f>_Salesdata[[#This Row],[Gross_Sales]] - _Salesdata[[#This Row],[Total Cost]]</f>
        <v>1281.4500000000003</v>
      </c>
      <c r="R153" s="2"/>
    </row>
    <row r="154" spans="1:18" x14ac:dyDescent="0.25">
      <c r="A154">
        <v>1086</v>
      </c>
      <c r="B154" s="1">
        <v>45259</v>
      </c>
      <c r="C154" t="s">
        <v>17</v>
      </c>
      <c r="D154" t="s">
        <v>25</v>
      </c>
      <c r="E154" s="2">
        <v>5127.2700000000004</v>
      </c>
      <c r="F154">
        <v>7</v>
      </c>
      <c r="G154" t="s">
        <v>31</v>
      </c>
      <c r="H154" s="2">
        <v>737.9</v>
      </c>
      <c r="I154" s="2">
        <v>1182</v>
      </c>
      <c r="J154" t="s">
        <v>27</v>
      </c>
      <c r="K154">
        <v>0.23</v>
      </c>
      <c r="L154" t="s">
        <v>28</v>
      </c>
      <c r="M154" t="s">
        <v>32</v>
      </c>
      <c r="N154" t="s">
        <v>34</v>
      </c>
      <c r="O154" s="2">
        <f>_Salesdata[[#This Row],[Unit_Price]] * _Salesdata[[#This Row],[Quantity_Sold]]</f>
        <v>8274</v>
      </c>
      <c r="P154" s="2">
        <f>_Salesdata[[#This Row],[Unit_Cost]] * _Salesdata[[#This Row],[Quantity_Sold]]</f>
        <v>5165.3</v>
      </c>
      <c r="Q154" s="2">
        <f>_Salesdata[[#This Row],[Gross_Sales]] - _Salesdata[[#This Row],[Total Cost]]</f>
        <v>3108.7</v>
      </c>
      <c r="R154" s="2"/>
    </row>
    <row r="155" spans="1:18" x14ac:dyDescent="0.25">
      <c r="A155">
        <v>1075</v>
      </c>
      <c r="B155" s="1">
        <v>45106</v>
      </c>
      <c r="C155" t="s">
        <v>30</v>
      </c>
      <c r="D155" t="s">
        <v>40</v>
      </c>
      <c r="E155" s="2">
        <v>4223.3900000000003</v>
      </c>
      <c r="F155">
        <v>30</v>
      </c>
      <c r="G155" t="s">
        <v>39</v>
      </c>
      <c r="H155" s="2">
        <v>738.06</v>
      </c>
      <c r="I155" s="2">
        <v>1095.44999999999</v>
      </c>
      <c r="J155" t="s">
        <v>27</v>
      </c>
      <c r="K155">
        <v>0.05</v>
      </c>
      <c r="L155" t="s">
        <v>44</v>
      </c>
      <c r="M155" t="s">
        <v>22</v>
      </c>
      <c r="N155" t="s">
        <v>41</v>
      </c>
      <c r="O155" s="2">
        <f>_Salesdata[[#This Row],[Unit_Price]] * _Salesdata[[#This Row],[Quantity_Sold]]</f>
        <v>32863.499999999702</v>
      </c>
      <c r="P155" s="2">
        <f>_Salesdata[[#This Row],[Unit_Cost]] * _Salesdata[[#This Row],[Quantity_Sold]]</f>
        <v>22141.8</v>
      </c>
      <c r="Q155" s="2">
        <f>_Salesdata[[#This Row],[Gross_Sales]] - _Salesdata[[#This Row],[Total Cost]]</f>
        <v>10721.699999999702</v>
      </c>
      <c r="R155" s="2"/>
    </row>
    <row r="156" spans="1:18" x14ac:dyDescent="0.25">
      <c r="A156">
        <v>1018</v>
      </c>
      <c r="B156" s="1">
        <v>45195</v>
      </c>
      <c r="C156" t="s">
        <v>30</v>
      </c>
      <c r="D156" t="s">
        <v>18</v>
      </c>
      <c r="E156" s="2">
        <v>5634.69</v>
      </c>
      <c r="F156">
        <v>25</v>
      </c>
      <c r="G156" t="s">
        <v>39</v>
      </c>
      <c r="H156" s="2">
        <v>739.63</v>
      </c>
      <c r="I156" s="2">
        <v>1103.03</v>
      </c>
      <c r="J156" t="s">
        <v>27</v>
      </c>
      <c r="K156">
        <v>0.26</v>
      </c>
      <c r="L156" t="s">
        <v>44</v>
      </c>
      <c r="M156" t="s">
        <v>32</v>
      </c>
      <c r="N156" t="s">
        <v>33</v>
      </c>
      <c r="O156" s="2">
        <f>_Salesdata[[#This Row],[Unit_Price]] * _Salesdata[[#This Row],[Quantity_Sold]]</f>
        <v>27575.75</v>
      </c>
      <c r="P156" s="2">
        <f>_Salesdata[[#This Row],[Unit_Cost]] * _Salesdata[[#This Row],[Quantity_Sold]]</f>
        <v>18490.75</v>
      </c>
      <c r="Q156" s="2">
        <f>_Salesdata[[#This Row],[Gross_Sales]] - _Salesdata[[#This Row],[Total Cost]]</f>
        <v>9085</v>
      </c>
      <c r="R156" s="2"/>
    </row>
    <row r="157" spans="1:18" x14ac:dyDescent="0.25">
      <c r="A157">
        <v>1098</v>
      </c>
      <c r="B157" s="1">
        <v>45001</v>
      </c>
      <c r="C157" t="s">
        <v>30</v>
      </c>
      <c r="D157" t="s">
        <v>40</v>
      </c>
      <c r="E157" s="2">
        <v>6780.38</v>
      </c>
      <c r="F157">
        <v>11</v>
      </c>
      <c r="G157" t="s">
        <v>39</v>
      </c>
      <c r="H157" s="2">
        <v>741.48</v>
      </c>
      <c r="I157" s="2">
        <v>878.09</v>
      </c>
      <c r="J157" t="s">
        <v>27</v>
      </c>
      <c r="K157">
        <v>0.28999999999999998</v>
      </c>
      <c r="L157" t="s">
        <v>21</v>
      </c>
      <c r="M157" t="s">
        <v>32</v>
      </c>
      <c r="N157" t="s">
        <v>41</v>
      </c>
      <c r="O157" s="2">
        <f>_Salesdata[[#This Row],[Unit_Price]] * _Salesdata[[#This Row],[Quantity_Sold]]</f>
        <v>9658.99</v>
      </c>
      <c r="P157" s="2">
        <f>_Salesdata[[#This Row],[Unit_Cost]] * _Salesdata[[#This Row],[Quantity_Sold]]</f>
        <v>8156.2800000000007</v>
      </c>
      <c r="Q157" s="2">
        <f>_Salesdata[[#This Row],[Gross_Sales]] - _Salesdata[[#This Row],[Total Cost]]</f>
        <v>1502.7099999999991</v>
      </c>
      <c r="R157" s="2"/>
    </row>
    <row r="158" spans="1:18" x14ac:dyDescent="0.25">
      <c r="A158">
        <v>1052</v>
      </c>
      <c r="B158" s="1">
        <v>45030</v>
      </c>
      <c r="C158" t="s">
        <v>30</v>
      </c>
      <c r="D158" t="s">
        <v>37</v>
      </c>
      <c r="E158" s="2">
        <v>1834.7</v>
      </c>
      <c r="F158">
        <v>5</v>
      </c>
      <c r="G158" t="s">
        <v>39</v>
      </c>
      <c r="H158" s="2">
        <v>745.71</v>
      </c>
      <c r="I158" s="2">
        <v>856.91</v>
      </c>
      <c r="J158" t="s">
        <v>20</v>
      </c>
      <c r="K158">
        <v>0.23</v>
      </c>
      <c r="L158" t="s">
        <v>44</v>
      </c>
      <c r="M158" t="s">
        <v>32</v>
      </c>
      <c r="N158" t="s">
        <v>51</v>
      </c>
      <c r="O158" s="2">
        <f>_Salesdata[[#This Row],[Unit_Price]] * _Salesdata[[#This Row],[Quantity_Sold]]</f>
        <v>4284.55</v>
      </c>
      <c r="P158" s="2">
        <f>_Salesdata[[#This Row],[Unit_Cost]] * _Salesdata[[#This Row],[Quantity_Sold]]</f>
        <v>3728.55</v>
      </c>
      <c r="Q158" s="2">
        <f>_Salesdata[[#This Row],[Gross_Sales]] - _Salesdata[[#This Row],[Total Cost]]</f>
        <v>556</v>
      </c>
      <c r="R158" s="2"/>
    </row>
    <row r="159" spans="1:18" x14ac:dyDescent="0.25">
      <c r="A159">
        <v>1027</v>
      </c>
      <c r="B159" s="1">
        <v>44929</v>
      </c>
      <c r="C159" t="s">
        <v>17</v>
      </c>
      <c r="D159" t="s">
        <v>18</v>
      </c>
      <c r="E159" s="2">
        <v>7648.22</v>
      </c>
      <c r="F159">
        <v>30</v>
      </c>
      <c r="G159" t="s">
        <v>39</v>
      </c>
      <c r="H159" s="2">
        <v>745.93</v>
      </c>
      <c r="I159" s="2">
        <v>1143.02</v>
      </c>
      <c r="J159" t="s">
        <v>20</v>
      </c>
      <c r="K159">
        <v>0.2</v>
      </c>
      <c r="L159" t="s">
        <v>28</v>
      </c>
      <c r="M159" t="s">
        <v>22</v>
      </c>
      <c r="N159" t="s">
        <v>23</v>
      </c>
      <c r="O159" s="2">
        <f>_Salesdata[[#This Row],[Unit_Price]] * _Salesdata[[#This Row],[Quantity_Sold]]</f>
        <v>34290.6</v>
      </c>
      <c r="P159" s="2">
        <f>_Salesdata[[#This Row],[Unit_Cost]] * _Salesdata[[#This Row],[Quantity_Sold]]</f>
        <v>22377.899999999998</v>
      </c>
      <c r="Q159" s="2">
        <f>_Salesdata[[#This Row],[Gross_Sales]] - _Salesdata[[#This Row],[Total Cost]]</f>
        <v>11912.7</v>
      </c>
      <c r="R159" s="2"/>
    </row>
    <row r="160" spans="1:18" x14ac:dyDescent="0.25">
      <c r="A160">
        <v>1058</v>
      </c>
      <c r="B160" s="1">
        <v>45171</v>
      </c>
      <c r="C160" t="s">
        <v>30</v>
      </c>
      <c r="D160" t="s">
        <v>40</v>
      </c>
      <c r="E160" s="2">
        <v>1142.92</v>
      </c>
      <c r="F160">
        <v>9</v>
      </c>
      <c r="G160" t="s">
        <v>39</v>
      </c>
      <c r="H160" s="2">
        <v>760.55</v>
      </c>
      <c r="I160" s="2">
        <v>1086.8899999999901</v>
      </c>
      <c r="J160" t="s">
        <v>20</v>
      </c>
      <c r="K160">
        <v>0.15</v>
      </c>
      <c r="L160" t="s">
        <v>21</v>
      </c>
      <c r="M160" t="s">
        <v>32</v>
      </c>
      <c r="N160" t="s">
        <v>41</v>
      </c>
      <c r="O160" s="2">
        <f>_Salesdata[[#This Row],[Unit_Price]] * _Salesdata[[#This Row],[Quantity_Sold]]</f>
        <v>9782.0099999999111</v>
      </c>
      <c r="P160" s="2">
        <f>_Salesdata[[#This Row],[Unit_Cost]] * _Salesdata[[#This Row],[Quantity_Sold]]</f>
        <v>6844.95</v>
      </c>
      <c r="Q160" s="2">
        <f>_Salesdata[[#This Row],[Gross_Sales]] - _Salesdata[[#This Row],[Total Cost]]</f>
        <v>2937.0599999999113</v>
      </c>
      <c r="R160" s="2"/>
    </row>
    <row r="161" spans="1:18" x14ac:dyDescent="0.25">
      <c r="A161">
        <v>1064</v>
      </c>
      <c r="B161" s="1">
        <v>45077</v>
      </c>
      <c r="C161" t="s">
        <v>30</v>
      </c>
      <c r="D161" t="s">
        <v>40</v>
      </c>
      <c r="E161" s="2">
        <v>2579.63</v>
      </c>
      <c r="F161">
        <v>8</v>
      </c>
      <c r="G161" t="s">
        <v>19</v>
      </c>
      <c r="H161" s="2">
        <v>816.54</v>
      </c>
      <c r="I161" s="2">
        <v>1191.9000000000001</v>
      </c>
      <c r="J161" t="s">
        <v>27</v>
      </c>
      <c r="K161">
        <v>0.03</v>
      </c>
      <c r="L161" t="s">
        <v>21</v>
      </c>
      <c r="M161" t="s">
        <v>32</v>
      </c>
      <c r="N161" t="s">
        <v>41</v>
      </c>
      <c r="O161" s="2">
        <f>_Salesdata[[#This Row],[Unit_Price]] * _Salesdata[[#This Row],[Quantity_Sold]]</f>
        <v>9535.2000000000007</v>
      </c>
      <c r="P161" s="2">
        <f>_Salesdata[[#This Row],[Unit_Cost]] * _Salesdata[[#This Row],[Quantity_Sold]]</f>
        <v>6532.32</v>
      </c>
      <c r="Q161" s="2">
        <f>_Salesdata[[#This Row],[Gross_Sales]] - _Salesdata[[#This Row],[Total Cost]]</f>
        <v>3002.880000000001</v>
      </c>
      <c r="R161" s="2"/>
    </row>
    <row r="162" spans="1:18" x14ac:dyDescent="0.25">
      <c r="A162">
        <v>1006</v>
      </c>
      <c r="B162" s="1">
        <v>45236</v>
      </c>
      <c r="C162" t="s">
        <v>17</v>
      </c>
      <c r="D162" t="s">
        <v>40</v>
      </c>
      <c r="E162" s="2">
        <v>189.64</v>
      </c>
      <c r="F162">
        <v>22</v>
      </c>
      <c r="G162" t="s">
        <v>31</v>
      </c>
      <c r="H162" s="2">
        <v>834.32</v>
      </c>
      <c r="I162" s="2">
        <v>1098.97</v>
      </c>
      <c r="J162" t="s">
        <v>20</v>
      </c>
      <c r="K162">
        <v>0.17</v>
      </c>
      <c r="L162" t="s">
        <v>21</v>
      </c>
      <c r="M162" t="s">
        <v>22</v>
      </c>
      <c r="N162" t="s">
        <v>42</v>
      </c>
      <c r="O162" s="2">
        <f>_Salesdata[[#This Row],[Unit_Price]] * _Salesdata[[#This Row],[Quantity_Sold]]</f>
        <v>24177.34</v>
      </c>
      <c r="P162" s="2">
        <f>_Salesdata[[#This Row],[Unit_Cost]] * _Salesdata[[#This Row],[Quantity_Sold]]</f>
        <v>18355.04</v>
      </c>
      <c r="Q162" s="2">
        <f>_Salesdata[[#This Row],[Gross_Sales]] - _Salesdata[[#This Row],[Total Cost]]</f>
        <v>5822.2999999999993</v>
      </c>
      <c r="R162" s="2"/>
    </row>
    <row r="163" spans="1:18" x14ac:dyDescent="0.25">
      <c r="A163">
        <v>1030</v>
      </c>
      <c r="B163" s="1">
        <v>45004</v>
      </c>
      <c r="C163" t="s">
        <v>30</v>
      </c>
      <c r="D163" t="s">
        <v>18</v>
      </c>
      <c r="E163" s="2">
        <v>1874.63</v>
      </c>
      <c r="F163">
        <v>2</v>
      </c>
      <c r="G163" t="s">
        <v>19</v>
      </c>
      <c r="H163" s="2">
        <v>844.94</v>
      </c>
      <c r="I163" s="2">
        <v>1225.6400000000001</v>
      </c>
      <c r="J163" t="s">
        <v>20</v>
      </c>
      <c r="K163">
        <v>0.23</v>
      </c>
      <c r="L163" t="s">
        <v>28</v>
      </c>
      <c r="M163" t="s">
        <v>22</v>
      </c>
      <c r="N163" t="s">
        <v>33</v>
      </c>
      <c r="O163" s="2">
        <f>_Salesdata[[#This Row],[Unit_Price]] * _Salesdata[[#This Row],[Quantity_Sold]]</f>
        <v>2451.2800000000002</v>
      </c>
      <c r="P163" s="2">
        <f>_Salesdata[[#This Row],[Unit_Cost]] * _Salesdata[[#This Row],[Quantity_Sold]]</f>
        <v>1689.88</v>
      </c>
      <c r="Q163" s="2">
        <f>_Salesdata[[#This Row],[Gross_Sales]] - _Salesdata[[#This Row],[Total Cost]]</f>
        <v>761.40000000000009</v>
      </c>
      <c r="R163" s="2"/>
    </row>
    <row r="164" spans="1:18" x14ac:dyDescent="0.25">
      <c r="A164">
        <v>1089</v>
      </c>
      <c r="B164" s="1">
        <v>45124</v>
      </c>
      <c r="C164" t="s">
        <v>35</v>
      </c>
      <c r="D164" t="s">
        <v>37</v>
      </c>
      <c r="E164" s="2">
        <v>3438.35</v>
      </c>
      <c r="F164">
        <v>31</v>
      </c>
      <c r="G164" t="s">
        <v>19</v>
      </c>
      <c r="H164" s="2">
        <v>845.14</v>
      </c>
      <c r="I164" s="2">
        <v>1001.77</v>
      </c>
      <c r="J164" t="s">
        <v>27</v>
      </c>
      <c r="K164">
        <v>0.03</v>
      </c>
      <c r="L164" t="s">
        <v>21</v>
      </c>
      <c r="M164" t="s">
        <v>22</v>
      </c>
      <c r="N164" t="s">
        <v>38</v>
      </c>
      <c r="O164" s="2">
        <f>_Salesdata[[#This Row],[Unit_Price]] * _Salesdata[[#This Row],[Quantity_Sold]]</f>
        <v>31054.87</v>
      </c>
      <c r="P164" s="2">
        <f>_Salesdata[[#This Row],[Unit_Cost]] * _Salesdata[[#This Row],[Quantity_Sold]]</f>
        <v>26199.34</v>
      </c>
      <c r="Q164" s="2">
        <f>_Salesdata[[#This Row],[Gross_Sales]] - _Salesdata[[#This Row],[Total Cost]]</f>
        <v>4855.5299999999988</v>
      </c>
      <c r="R164" s="2"/>
    </row>
    <row r="165" spans="1:18" x14ac:dyDescent="0.25">
      <c r="A165">
        <v>1014</v>
      </c>
      <c r="B165" s="1">
        <v>45278</v>
      </c>
      <c r="C165" t="s">
        <v>30</v>
      </c>
      <c r="D165" t="s">
        <v>18</v>
      </c>
      <c r="E165" s="2">
        <v>5612.17</v>
      </c>
      <c r="F165">
        <v>4</v>
      </c>
      <c r="G165" t="s">
        <v>39</v>
      </c>
      <c r="H165" s="2">
        <v>854.68</v>
      </c>
      <c r="I165" s="2">
        <v>1115.24</v>
      </c>
      <c r="J165" t="s">
        <v>27</v>
      </c>
      <c r="K165">
        <v>0.24</v>
      </c>
      <c r="L165" t="s">
        <v>28</v>
      </c>
      <c r="M165" t="s">
        <v>32</v>
      </c>
      <c r="N165" t="s">
        <v>33</v>
      </c>
      <c r="O165" s="2">
        <f>_Salesdata[[#This Row],[Unit_Price]] * _Salesdata[[#This Row],[Quantity_Sold]]</f>
        <v>4460.96</v>
      </c>
      <c r="P165" s="2">
        <f>_Salesdata[[#This Row],[Unit_Cost]] * _Salesdata[[#This Row],[Quantity_Sold]]</f>
        <v>3418.72</v>
      </c>
      <c r="Q165" s="2">
        <f>_Salesdata[[#This Row],[Gross_Sales]] - _Salesdata[[#This Row],[Total Cost]]</f>
        <v>1042.2400000000002</v>
      </c>
      <c r="R165" s="2"/>
    </row>
    <row r="166" spans="1:18" x14ac:dyDescent="0.25">
      <c r="A166">
        <v>1025</v>
      </c>
      <c r="B166" s="1">
        <v>44985</v>
      </c>
      <c r="C166" t="s">
        <v>17</v>
      </c>
      <c r="D166" t="s">
        <v>18</v>
      </c>
      <c r="E166" s="2">
        <v>8236.1299999999992</v>
      </c>
      <c r="F166">
        <v>14</v>
      </c>
      <c r="G166" t="s">
        <v>26</v>
      </c>
      <c r="H166" s="2">
        <v>859.59</v>
      </c>
      <c r="I166" s="2">
        <v>884.51</v>
      </c>
      <c r="J166" t="s">
        <v>27</v>
      </c>
      <c r="K166">
        <v>0.12</v>
      </c>
      <c r="L166" t="s">
        <v>44</v>
      </c>
      <c r="M166" t="s">
        <v>22</v>
      </c>
      <c r="N166" t="s">
        <v>23</v>
      </c>
      <c r="O166" s="2">
        <f>_Salesdata[[#This Row],[Unit_Price]] * _Salesdata[[#This Row],[Quantity_Sold]]</f>
        <v>12383.14</v>
      </c>
      <c r="P166" s="2">
        <f>_Salesdata[[#This Row],[Unit_Cost]] * _Salesdata[[#This Row],[Quantity_Sold]]</f>
        <v>12034.26</v>
      </c>
      <c r="Q166" s="2">
        <f>_Salesdata[[#This Row],[Gross_Sales]] - _Salesdata[[#This Row],[Total Cost]]</f>
        <v>348.8799999999992</v>
      </c>
      <c r="R166" s="2"/>
    </row>
    <row r="167" spans="1:18" x14ac:dyDescent="0.25">
      <c r="A167">
        <v>1041</v>
      </c>
      <c r="B167" s="1">
        <v>44934</v>
      </c>
      <c r="C167" t="s">
        <v>30</v>
      </c>
      <c r="D167" t="s">
        <v>18</v>
      </c>
      <c r="E167" s="2">
        <v>1714.05</v>
      </c>
      <c r="F167">
        <v>36</v>
      </c>
      <c r="G167" t="s">
        <v>31</v>
      </c>
      <c r="H167" s="2">
        <v>864.77</v>
      </c>
      <c r="I167" s="2">
        <v>1170.1599999999901</v>
      </c>
      <c r="J167" t="s">
        <v>20</v>
      </c>
      <c r="K167">
        <v>0.11</v>
      </c>
      <c r="L167" t="s">
        <v>21</v>
      </c>
      <c r="M167" t="s">
        <v>32</v>
      </c>
      <c r="N167" t="s">
        <v>33</v>
      </c>
      <c r="O167" s="2">
        <f>_Salesdata[[#This Row],[Unit_Price]] * _Salesdata[[#This Row],[Quantity_Sold]]</f>
        <v>42125.759999999646</v>
      </c>
      <c r="P167" s="2">
        <f>_Salesdata[[#This Row],[Unit_Cost]] * _Salesdata[[#This Row],[Quantity_Sold]]</f>
        <v>31131.72</v>
      </c>
      <c r="Q167" s="2">
        <f>_Salesdata[[#This Row],[Gross_Sales]] - _Salesdata[[#This Row],[Total Cost]]</f>
        <v>10994.039999999644</v>
      </c>
      <c r="R167" s="2"/>
    </row>
    <row r="168" spans="1:18" x14ac:dyDescent="0.25">
      <c r="A168">
        <v>1070</v>
      </c>
      <c r="B168" s="1">
        <v>45274</v>
      </c>
      <c r="C168" t="s">
        <v>35</v>
      </c>
      <c r="D168" t="s">
        <v>40</v>
      </c>
      <c r="E168" s="2">
        <v>2032.15</v>
      </c>
      <c r="F168">
        <v>33</v>
      </c>
      <c r="G168" t="s">
        <v>31</v>
      </c>
      <c r="H168" s="2">
        <v>866.42</v>
      </c>
      <c r="I168" s="2">
        <v>878.43</v>
      </c>
      <c r="J168" t="s">
        <v>27</v>
      </c>
      <c r="K168">
        <v>0.09</v>
      </c>
      <c r="L168" t="s">
        <v>21</v>
      </c>
      <c r="M168" t="s">
        <v>32</v>
      </c>
      <c r="N168" t="s">
        <v>43</v>
      </c>
      <c r="O168" s="2">
        <f>_Salesdata[[#This Row],[Unit_Price]] * _Salesdata[[#This Row],[Quantity_Sold]]</f>
        <v>28988.19</v>
      </c>
      <c r="P168" s="2">
        <f>_Salesdata[[#This Row],[Unit_Cost]] * _Salesdata[[#This Row],[Quantity_Sold]]</f>
        <v>28591.859999999997</v>
      </c>
      <c r="Q168" s="2">
        <f>_Salesdata[[#This Row],[Gross_Sales]] - _Salesdata[[#This Row],[Total Cost]]</f>
        <v>396.33000000000175</v>
      </c>
      <c r="R168" s="2"/>
    </row>
    <row r="169" spans="1:18" x14ac:dyDescent="0.25">
      <c r="A169">
        <v>1066</v>
      </c>
      <c r="B169" s="1">
        <v>45128</v>
      </c>
      <c r="C169" t="s">
        <v>35</v>
      </c>
      <c r="D169" t="s">
        <v>18</v>
      </c>
      <c r="E169" s="2">
        <v>3492.19</v>
      </c>
      <c r="F169">
        <v>4</v>
      </c>
      <c r="G169" t="s">
        <v>39</v>
      </c>
      <c r="H169" s="2">
        <v>868.83</v>
      </c>
      <c r="I169" s="2">
        <v>1177.75</v>
      </c>
      <c r="J169" t="s">
        <v>20</v>
      </c>
      <c r="K169">
        <v>0.21</v>
      </c>
      <c r="L169" t="s">
        <v>28</v>
      </c>
      <c r="M169" t="s">
        <v>32</v>
      </c>
      <c r="N169" t="s">
        <v>36</v>
      </c>
      <c r="O169" s="2">
        <f>_Salesdata[[#This Row],[Unit_Price]] * _Salesdata[[#This Row],[Quantity_Sold]]</f>
        <v>4711</v>
      </c>
      <c r="P169" s="2">
        <f>_Salesdata[[#This Row],[Unit_Cost]] * _Salesdata[[#This Row],[Quantity_Sold]]</f>
        <v>3475.32</v>
      </c>
      <c r="Q169" s="2">
        <f>_Salesdata[[#This Row],[Gross_Sales]] - _Salesdata[[#This Row],[Total Cost]]</f>
        <v>1235.6799999999998</v>
      </c>
      <c r="R169" s="2"/>
    </row>
    <row r="170" spans="1:18" x14ac:dyDescent="0.25">
      <c r="A170">
        <v>1082</v>
      </c>
      <c r="B170" s="1">
        <v>45088</v>
      </c>
      <c r="C170" t="s">
        <v>24</v>
      </c>
      <c r="D170" t="s">
        <v>37</v>
      </c>
      <c r="E170" s="2">
        <v>7041.58</v>
      </c>
      <c r="F170">
        <v>17</v>
      </c>
      <c r="G170" t="s">
        <v>39</v>
      </c>
      <c r="H170" s="2">
        <v>890.31</v>
      </c>
      <c r="I170" s="2">
        <v>1159.06</v>
      </c>
      <c r="J170" t="s">
        <v>20</v>
      </c>
      <c r="K170">
        <v>0.06</v>
      </c>
      <c r="L170" t="s">
        <v>21</v>
      </c>
      <c r="M170" t="s">
        <v>32</v>
      </c>
      <c r="N170" t="s">
        <v>53</v>
      </c>
      <c r="O170" s="2">
        <f>_Salesdata[[#This Row],[Unit_Price]] * _Salesdata[[#This Row],[Quantity_Sold]]</f>
        <v>19704.02</v>
      </c>
      <c r="P170" s="2">
        <f>_Salesdata[[#This Row],[Unit_Cost]] * _Salesdata[[#This Row],[Quantity_Sold]]</f>
        <v>15135.269999999999</v>
      </c>
      <c r="Q170" s="2">
        <f>_Salesdata[[#This Row],[Gross_Sales]] - _Salesdata[[#This Row],[Total Cost]]</f>
        <v>4568.7500000000018</v>
      </c>
      <c r="R170" s="2"/>
    </row>
    <row r="171" spans="1:18" x14ac:dyDescent="0.25">
      <c r="A171">
        <v>1058</v>
      </c>
      <c r="B171" s="1">
        <v>45252</v>
      </c>
      <c r="C171" t="s">
        <v>24</v>
      </c>
      <c r="D171" t="s">
        <v>25</v>
      </c>
      <c r="E171" s="2">
        <v>8085.98</v>
      </c>
      <c r="F171">
        <v>15</v>
      </c>
      <c r="G171" t="s">
        <v>19</v>
      </c>
      <c r="H171" s="2">
        <v>894.48</v>
      </c>
      <c r="I171" s="2">
        <v>1336.37</v>
      </c>
      <c r="J171" t="s">
        <v>20</v>
      </c>
      <c r="K171">
        <v>0.26</v>
      </c>
      <c r="L171" t="s">
        <v>21</v>
      </c>
      <c r="M171" t="s">
        <v>32</v>
      </c>
      <c r="N171" t="s">
        <v>29</v>
      </c>
      <c r="O171" s="2">
        <f>_Salesdata[[#This Row],[Unit_Price]] * _Salesdata[[#This Row],[Quantity_Sold]]</f>
        <v>20045.55</v>
      </c>
      <c r="P171" s="2">
        <f>_Salesdata[[#This Row],[Unit_Cost]] * _Salesdata[[#This Row],[Quantity_Sold]]</f>
        <v>13417.2</v>
      </c>
      <c r="Q171" s="2">
        <f>_Salesdata[[#This Row],[Gross_Sales]] - _Salesdata[[#This Row],[Total Cost]]</f>
        <v>6628.3499999999985</v>
      </c>
      <c r="R171" s="2"/>
    </row>
    <row r="172" spans="1:18" x14ac:dyDescent="0.25">
      <c r="A172">
        <v>1021</v>
      </c>
      <c r="B172" s="1">
        <v>44968</v>
      </c>
      <c r="C172" t="s">
        <v>35</v>
      </c>
      <c r="D172" t="s">
        <v>25</v>
      </c>
      <c r="E172" s="2">
        <v>3761.15</v>
      </c>
      <c r="F172">
        <v>32</v>
      </c>
      <c r="G172" t="s">
        <v>31</v>
      </c>
      <c r="H172" s="2">
        <v>900.79</v>
      </c>
      <c r="I172" s="2">
        <v>1106.51</v>
      </c>
      <c r="J172" t="s">
        <v>27</v>
      </c>
      <c r="K172">
        <v>0.21</v>
      </c>
      <c r="L172" t="s">
        <v>21</v>
      </c>
      <c r="M172" t="s">
        <v>22</v>
      </c>
      <c r="N172" t="s">
        <v>56</v>
      </c>
      <c r="O172" s="2">
        <f>_Salesdata[[#This Row],[Unit_Price]] * _Salesdata[[#This Row],[Quantity_Sold]]</f>
        <v>35408.32</v>
      </c>
      <c r="P172" s="2">
        <f>_Salesdata[[#This Row],[Unit_Cost]] * _Salesdata[[#This Row],[Quantity_Sold]]</f>
        <v>28825.279999999999</v>
      </c>
      <c r="Q172" s="2">
        <f>_Salesdata[[#This Row],[Gross_Sales]] - _Salesdata[[#This Row],[Total Cost]]</f>
        <v>6583.0400000000009</v>
      </c>
      <c r="R172" s="2"/>
    </row>
    <row r="173" spans="1:18" x14ac:dyDescent="0.25">
      <c r="A173">
        <v>1080</v>
      </c>
      <c r="B173" s="1">
        <v>45104</v>
      </c>
      <c r="C173" t="s">
        <v>48</v>
      </c>
      <c r="D173" t="s">
        <v>25</v>
      </c>
      <c r="E173" s="2">
        <v>5012.96</v>
      </c>
      <c r="F173">
        <v>35</v>
      </c>
      <c r="G173" t="s">
        <v>39</v>
      </c>
      <c r="H173" s="2">
        <v>900.97</v>
      </c>
      <c r="I173" s="2">
        <v>1321.18</v>
      </c>
      <c r="J173" t="s">
        <v>20</v>
      </c>
      <c r="K173">
        <v>0.1</v>
      </c>
      <c r="L173" t="s">
        <v>21</v>
      </c>
      <c r="M173" t="s">
        <v>22</v>
      </c>
      <c r="N173" t="s">
        <v>49</v>
      </c>
      <c r="O173" s="2">
        <f>_Salesdata[[#This Row],[Unit_Price]] * _Salesdata[[#This Row],[Quantity_Sold]]</f>
        <v>46241.3</v>
      </c>
      <c r="P173" s="2">
        <f>_Salesdata[[#This Row],[Unit_Cost]] * _Salesdata[[#This Row],[Quantity_Sold]]</f>
        <v>31533.95</v>
      </c>
      <c r="Q173" s="2">
        <f>_Salesdata[[#This Row],[Gross_Sales]] - _Salesdata[[#This Row],[Total Cost]]</f>
        <v>14707.350000000002</v>
      </c>
      <c r="R173" s="2"/>
    </row>
    <row r="174" spans="1:18" x14ac:dyDescent="0.25">
      <c r="A174">
        <v>1078</v>
      </c>
      <c r="B174" s="1">
        <v>45134</v>
      </c>
      <c r="C174" t="s">
        <v>48</v>
      </c>
      <c r="D174" t="s">
        <v>37</v>
      </c>
      <c r="E174" s="2">
        <v>4127.37</v>
      </c>
      <c r="F174">
        <v>3</v>
      </c>
      <c r="G174" t="s">
        <v>19</v>
      </c>
      <c r="H174" s="2">
        <v>902.38</v>
      </c>
      <c r="I174" s="2">
        <v>1128.9100000000001</v>
      </c>
      <c r="J174" t="s">
        <v>27</v>
      </c>
      <c r="K174">
        <v>0.01</v>
      </c>
      <c r="L174" t="s">
        <v>44</v>
      </c>
      <c r="M174" t="s">
        <v>32</v>
      </c>
      <c r="N174" t="s">
        <v>52</v>
      </c>
      <c r="O174" s="2">
        <f>_Salesdata[[#This Row],[Unit_Price]] * _Salesdata[[#This Row],[Quantity_Sold]]</f>
        <v>3386.7300000000005</v>
      </c>
      <c r="P174" s="2">
        <f>_Salesdata[[#This Row],[Unit_Cost]] * _Salesdata[[#This Row],[Quantity_Sold]]</f>
        <v>2707.14</v>
      </c>
      <c r="Q174" s="2">
        <f>_Salesdata[[#This Row],[Gross_Sales]] - _Salesdata[[#This Row],[Total Cost]]</f>
        <v>679.5900000000006</v>
      </c>
      <c r="R174" s="2"/>
    </row>
    <row r="175" spans="1:18" x14ac:dyDescent="0.25">
      <c r="A175">
        <v>1099</v>
      </c>
      <c r="B175" s="1">
        <v>45221</v>
      </c>
      <c r="C175" t="s">
        <v>17</v>
      </c>
      <c r="D175" t="s">
        <v>25</v>
      </c>
      <c r="E175" s="2">
        <v>1514.14</v>
      </c>
      <c r="F175">
        <v>43</v>
      </c>
      <c r="G175" t="s">
        <v>19</v>
      </c>
      <c r="H175" s="2">
        <v>906.47</v>
      </c>
      <c r="I175" s="2">
        <v>1283.04</v>
      </c>
      <c r="J175" t="s">
        <v>27</v>
      </c>
      <c r="K175">
        <v>0.24</v>
      </c>
      <c r="L175" t="s">
        <v>21</v>
      </c>
      <c r="M175" t="s">
        <v>22</v>
      </c>
      <c r="N175" t="s">
        <v>34</v>
      </c>
      <c r="O175" s="2">
        <f>_Salesdata[[#This Row],[Unit_Price]] * _Salesdata[[#This Row],[Quantity_Sold]]</f>
        <v>55170.720000000001</v>
      </c>
      <c r="P175" s="2">
        <f>_Salesdata[[#This Row],[Unit_Cost]] * _Salesdata[[#This Row],[Quantity_Sold]]</f>
        <v>38978.21</v>
      </c>
      <c r="Q175" s="2">
        <f>_Salesdata[[#This Row],[Gross_Sales]] - _Salesdata[[#This Row],[Total Cost]]</f>
        <v>16192.510000000002</v>
      </c>
      <c r="R175" s="2"/>
    </row>
    <row r="176" spans="1:18" x14ac:dyDescent="0.25">
      <c r="A176">
        <v>1028</v>
      </c>
      <c r="B176" s="1">
        <v>45231</v>
      </c>
      <c r="C176" t="s">
        <v>17</v>
      </c>
      <c r="D176" t="s">
        <v>18</v>
      </c>
      <c r="E176" s="2">
        <v>7946.69</v>
      </c>
      <c r="F176">
        <v>24</v>
      </c>
      <c r="G176" t="s">
        <v>31</v>
      </c>
      <c r="H176" s="2">
        <v>911.11</v>
      </c>
      <c r="I176" s="2">
        <v>1214.56</v>
      </c>
      <c r="J176" t="s">
        <v>27</v>
      </c>
      <c r="K176">
        <v>0.22</v>
      </c>
      <c r="L176" t="s">
        <v>44</v>
      </c>
      <c r="M176" t="s">
        <v>22</v>
      </c>
      <c r="N176" t="s">
        <v>23</v>
      </c>
      <c r="O176" s="2">
        <f>_Salesdata[[#This Row],[Unit_Price]] * _Salesdata[[#This Row],[Quantity_Sold]]</f>
        <v>29149.439999999999</v>
      </c>
      <c r="P176" s="2">
        <f>_Salesdata[[#This Row],[Unit_Cost]] * _Salesdata[[#This Row],[Quantity_Sold]]</f>
        <v>21866.639999999999</v>
      </c>
      <c r="Q176" s="2">
        <f>_Salesdata[[#This Row],[Gross_Sales]] - _Salesdata[[#This Row],[Total Cost]]</f>
        <v>7282.7999999999993</v>
      </c>
      <c r="R176" s="2"/>
    </row>
    <row r="177" spans="1:18" x14ac:dyDescent="0.25">
      <c r="A177">
        <v>1045</v>
      </c>
      <c r="B177" s="1">
        <v>45249</v>
      </c>
      <c r="C177" t="s">
        <v>17</v>
      </c>
      <c r="D177" t="s">
        <v>37</v>
      </c>
      <c r="E177" s="2">
        <v>1649.12</v>
      </c>
      <c r="F177">
        <v>2</v>
      </c>
      <c r="G177" t="s">
        <v>26</v>
      </c>
      <c r="H177" s="2">
        <v>912.08</v>
      </c>
      <c r="I177" s="2">
        <v>993.24</v>
      </c>
      <c r="J177" t="s">
        <v>20</v>
      </c>
      <c r="K177">
        <v>0.09</v>
      </c>
      <c r="L177" t="s">
        <v>28</v>
      </c>
      <c r="M177" t="s">
        <v>22</v>
      </c>
      <c r="N177" t="s">
        <v>47</v>
      </c>
      <c r="O177" s="2">
        <f>_Salesdata[[#This Row],[Unit_Price]] * _Salesdata[[#This Row],[Quantity_Sold]]</f>
        <v>1986.48</v>
      </c>
      <c r="P177" s="2">
        <f>_Salesdata[[#This Row],[Unit_Cost]] * _Salesdata[[#This Row],[Quantity_Sold]]</f>
        <v>1824.16</v>
      </c>
      <c r="Q177" s="2">
        <f>_Salesdata[[#This Row],[Gross_Sales]] - _Salesdata[[#This Row],[Total Cost]]</f>
        <v>162.31999999999994</v>
      </c>
      <c r="R177" s="2"/>
    </row>
    <row r="178" spans="1:18" x14ac:dyDescent="0.25">
      <c r="A178">
        <v>1002</v>
      </c>
      <c r="B178" s="1">
        <v>45027</v>
      </c>
      <c r="C178" t="s">
        <v>17</v>
      </c>
      <c r="D178" t="s">
        <v>37</v>
      </c>
      <c r="E178" s="2">
        <v>1942.75</v>
      </c>
      <c r="F178">
        <v>21</v>
      </c>
      <c r="G178" t="s">
        <v>31</v>
      </c>
      <c r="H178" s="2">
        <v>914.22</v>
      </c>
      <c r="I178" s="2">
        <v>971.57</v>
      </c>
      <c r="J178" t="s">
        <v>20</v>
      </c>
      <c r="K178">
        <v>0.14000000000000001</v>
      </c>
      <c r="L178" t="s">
        <v>21</v>
      </c>
      <c r="M178" t="s">
        <v>22</v>
      </c>
      <c r="N178" t="s">
        <v>47</v>
      </c>
      <c r="O178" s="2">
        <f>_Salesdata[[#This Row],[Unit_Price]] * _Salesdata[[#This Row],[Quantity_Sold]]</f>
        <v>20402.97</v>
      </c>
      <c r="P178" s="2">
        <f>_Salesdata[[#This Row],[Unit_Cost]] * _Salesdata[[#This Row],[Quantity_Sold]]</f>
        <v>19198.62</v>
      </c>
      <c r="Q178" s="2">
        <f>_Salesdata[[#This Row],[Gross_Sales]] - _Salesdata[[#This Row],[Total Cost]]</f>
        <v>1204.3500000000022</v>
      </c>
      <c r="R178" s="2"/>
    </row>
    <row r="179" spans="1:18" x14ac:dyDescent="0.25">
      <c r="A179">
        <v>1013</v>
      </c>
      <c r="B179" s="1">
        <v>45176</v>
      </c>
      <c r="C179" t="s">
        <v>24</v>
      </c>
      <c r="D179" t="s">
        <v>25</v>
      </c>
      <c r="E179" s="2">
        <v>7413.36</v>
      </c>
      <c r="F179">
        <v>16</v>
      </c>
      <c r="G179" t="s">
        <v>39</v>
      </c>
      <c r="H179" s="2">
        <v>919.58</v>
      </c>
      <c r="I179" s="2">
        <v>1258.3</v>
      </c>
      <c r="J179" t="s">
        <v>20</v>
      </c>
      <c r="K179">
        <v>0.14000000000000001</v>
      </c>
      <c r="L179" t="s">
        <v>44</v>
      </c>
      <c r="M179" t="s">
        <v>22</v>
      </c>
      <c r="N179" t="s">
        <v>29</v>
      </c>
      <c r="O179" s="2">
        <f>_Salesdata[[#This Row],[Unit_Price]] * _Salesdata[[#This Row],[Quantity_Sold]]</f>
        <v>20132.8</v>
      </c>
      <c r="P179" s="2">
        <f>_Salesdata[[#This Row],[Unit_Cost]] * _Salesdata[[#This Row],[Quantity_Sold]]</f>
        <v>14713.28</v>
      </c>
      <c r="Q179" s="2">
        <f>_Salesdata[[#This Row],[Gross_Sales]] - _Salesdata[[#This Row],[Total Cost]]</f>
        <v>5419.5199999999986</v>
      </c>
      <c r="R179" s="2"/>
    </row>
    <row r="180" spans="1:18" x14ac:dyDescent="0.25">
      <c r="A180">
        <v>1008</v>
      </c>
      <c r="B180" s="1">
        <v>45187</v>
      </c>
      <c r="C180" t="s">
        <v>35</v>
      </c>
      <c r="D180" t="s">
        <v>40</v>
      </c>
      <c r="E180" s="2">
        <v>7688.5</v>
      </c>
      <c r="F180">
        <v>32</v>
      </c>
      <c r="G180" t="s">
        <v>31</v>
      </c>
      <c r="H180" s="2">
        <v>921.32</v>
      </c>
      <c r="I180" s="2">
        <v>1236.0999999999999</v>
      </c>
      <c r="J180" t="s">
        <v>27</v>
      </c>
      <c r="K180">
        <v>0.12</v>
      </c>
      <c r="L180" t="s">
        <v>28</v>
      </c>
      <c r="M180" t="s">
        <v>22</v>
      </c>
      <c r="N180" t="s">
        <v>43</v>
      </c>
      <c r="O180" s="2">
        <f>_Salesdata[[#This Row],[Unit_Price]] * _Salesdata[[#This Row],[Quantity_Sold]]</f>
        <v>39555.199999999997</v>
      </c>
      <c r="P180" s="2">
        <f>_Salesdata[[#This Row],[Unit_Cost]] * _Salesdata[[#This Row],[Quantity_Sold]]</f>
        <v>29482.240000000002</v>
      </c>
      <c r="Q180" s="2">
        <f>_Salesdata[[#This Row],[Gross_Sales]] - _Salesdata[[#This Row],[Total Cost]]</f>
        <v>10072.959999999995</v>
      </c>
      <c r="R180" s="2"/>
    </row>
    <row r="181" spans="1:18" x14ac:dyDescent="0.25">
      <c r="A181">
        <v>1017</v>
      </c>
      <c r="B181" s="1">
        <v>44950</v>
      </c>
      <c r="C181" t="s">
        <v>48</v>
      </c>
      <c r="D181" t="s">
        <v>37</v>
      </c>
      <c r="E181" s="2">
        <v>4637.3999999999996</v>
      </c>
      <c r="F181">
        <v>27</v>
      </c>
      <c r="G181" t="s">
        <v>26</v>
      </c>
      <c r="H181" s="2">
        <v>927.89</v>
      </c>
      <c r="I181" s="2">
        <v>1399.09</v>
      </c>
      <c r="J181" t="s">
        <v>20</v>
      </c>
      <c r="K181">
        <v>0.27</v>
      </c>
      <c r="L181" t="s">
        <v>28</v>
      </c>
      <c r="M181" t="s">
        <v>22</v>
      </c>
      <c r="N181" t="s">
        <v>52</v>
      </c>
      <c r="O181" s="2">
        <f>_Salesdata[[#This Row],[Unit_Price]] * _Salesdata[[#This Row],[Quantity_Sold]]</f>
        <v>37775.43</v>
      </c>
      <c r="P181" s="2">
        <f>_Salesdata[[#This Row],[Unit_Cost]] * _Salesdata[[#This Row],[Quantity_Sold]]</f>
        <v>25053.03</v>
      </c>
      <c r="Q181" s="2">
        <f>_Salesdata[[#This Row],[Gross_Sales]] - _Salesdata[[#This Row],[Total Cost]]</f>
        <v>12722.400000000001</v>
      </c>
      <c r="R181" s="2"/>
    </row>
    <row r="182" spans="1:18" x14ac:dyDescent="0.25">
      <c r="A182">
        <v>1062</v>
      </c>
      <c r="B182" s="1">
        <v>45074</v>
      </c>
      <c r="C182" t="s">
        <v>17</v>
      </c>
      <c r="D182" t="s">
        <v>40</v>
      </c>
      <c r="E182" s="2">
        <v>7567.22</v>
      </c>
      <c r="F182">
        <v>28</v>
      </c>
      <c r="G182" t="s">
        <v>26</v>
      </c>
      <c r="H182" s="2">
        <v>933.16</v>
      </c>
      <c r="I182" s="2">
        <v>1004.69999999999</v>
      </c>
      <c r="J182" t="s">
        <v>20</v>
      </c>
      <c r="K182">
        <v>0.18</v>
      </c>
      <c r="L182" t="s">
        <v>44</v>
      </c>
      <c r="M182" t="s">
        <v>22</v>
      </c>
      <c r="N182" t="s">
        <v>42</v>
      </c>
      <c r="O182" s="2">
        <f>_Salesdata[[#This Row],[Unit_Price]] * _Salesdata[[#This Row],[Quantity_Sold]]</f>
        <v>28131.599999999722</v>
      </c>
      <c r="P182" s="2">
        <f>_Salesdata[[#This Row],[Unit_Cost]] * _Salesdata[[#This Row],[Quantity_Sold]]</f>
        <v>26128.48</v>
      </c>
      <c r="Q182" s="2">
        <f>_Salesdata[[#This Row],[Gross_Sales]] - _Salesdata[[#This Row],[Total Cost]]</f>
        <v>2003.1199999997225</v>
      </c>
      <c r="R182" s="2"/>
    </row>
    <row r="183" spans="1:18" x14ac:dyDescent="0.25">
      <c r="A183">
        <v>1001</v>
      </c>
      <c r="B183" s="1">
        <v>44975</v>
      </c>
      <c r="C183" t="s">
        <v>30</v>
      </c>
      <c r="D183" t="s">
        <v>25</v>
      </c>
      <c r="E183" s="2">
        <v>7154.95</v>
      </c>
      <c r="F183">
        <v>27</v>
      </c>
      <c r="G183" t="s">
        <v>19</v>
      </c>
      <c r="H183" s="2">
        <v>939.02</v>
      </c>
      <c r="I183" s="2">
        <v>1286.92</v>
      </c>
      <c r="J183" t="s">
        <v>20</v>
      </c>
      <c r="K183">
        <v>7.0000000000000007E-2</v>
      </c>
      <c r="L183" t="s">
        <v>28</v>
      </c>
      <c r="M183" t="s">
        <v>32</v>
      </c>
      <c r="N183" t="s">
        <v>45</v>
      </c>
      <c r="O183" s="2">
        <f>_Salesdata[[#This Row],[Unit_Price]] * _Salesdata[[#This Row],[Quantity_Sold]]</f>
        <v>34746.840000000004</v>
      </c>
      <c r="P183" s="2">
        <f>_Salesdata[[#This Row],[Unit_Cost]] * _Salesdata[[#This Row],[Quantity_Sold]]</f>
        <v>25353.54</v>
      </c>
      <c r="Q183" s="2">
        <f>_Salesdata[[#This Row],[Gross_Sales]] - _Salesdata[[#This Row],[Total Cost]]</f>
        <v>9393.3000000000029</v>
      </c>
      <c r="R183" s="2"/>
    </row>
    <row r="184" spans="1:18" x14ac:dyDescent="0.25">
      <c r="A184">
        <v>1029</v>
      </c>
      <c r="B184" s="1">
        <v>45111</v>
      </c>
      <c r="C184" t="s">
        <v>35</v>
      </c>
      <c r="D184" t="s">
        <v>37</v>
      </c>
      <c r="E184" s="2">
        <v>5240.32</v>
      </c>
      <c r="F184">
        <v>31</v>
      </c>
      <c r="G184" t="s">
        <v>39</v>
      </c>
      <c r="H184" s="2">
        <v>951.21</v>
      </c>
      <c r="I184" s="2">
        <v>1320.32</v>
      </c>
      <c r="J184" t="s">
        <v>27</v>
      </c>
      <c r="K184">
        <v>0.15</v>
      </c>
      <c r="L184" t="s">
        <v>21</v>
      </c>
      <c r="M184" t="s">
        <v>22</v>
      </c>
      <c r="N184" t="s">
        <v>38</v>
      </c>
      <c r="O184" s="2">
        <f>_Salesdata[[#This Row],[Unit_Price]] * _Salesdata[[#This Row],[Quantity_Sold]]</f>
        <v>40929.919999999998</v>
      </c>
      <c r="P184" s="2">
        <f>_Salesdata[[#This Row],[Unit_Cost]] * _Salesdata[[#This Row],[Quantity_Sold]]</f>
        <v>29487.510000000002</v>
      </c>
      <c r="Q184" s="2">
        <f>_Salesdata[[#This Row],[Gross_Sales]] - _Salesdata[[#This Row],[Total Cost]]</f>
        <v>11442.409999999996</v>
      </c>
      <c r="R184" s="2"/>
    </row>
    <row r="185" spans="1:18" x14ac:dyDescent="0.25">
      <c r="A185">
        <v>1066</v>
      </c>
      <c r="B185" s="1">
        <v>45152</v>
      </c>
      <c r="C185" t="s">
        <v>24</v>
      </c>
      <c r="D185" t="s">
        <v>40</v>
      </c>
      <c r="E185" s="2">
        <v>4891.49</v>
      </c>
      <c r="F185">
        <v>20</v>
      </c>
      <c r="G185" t="s">
        <v>26</v>
      </c>
      <c r="H185" s="2">
        <v>955.18</v>
      </c>
      <c r="I185" s="2">
        <v>1072.82</v>
      </c>
      <c r="J185" t="s">
        <v>27</v>
      </c>
      <c r="K185">
        <v>0.03</v>
      </c>
      <c r="L185" t="s">
        <v>44</v>
      </c>
      <c r="M185" t="s">
        <v>32</v>
      </c>
      <c r="N185" t="s">
        <v>55</v>
      </c>
      <c r="O185" s="2">
        <f>_Salesdata[[#This Row],[Unit_Price]] * _Salesdata[[#This Row],[Quantity_Sold]]</f>
        <v>21456.399999999998</v>
      </c>
      <c r="P185" s="2">
        <f>_Salesdata[[#This Row],[Unit_Cost]] * _Salesdata[[#This Row],[Quantity_Sold]]</f>
        <v>19103.599999999999</v>
      </c>
      <c r="Q185" s="2">
        <f>_Salesdata[[#This Row],[Gross_Sales]] - _Salesdata[[#This Row],[Total Cost]]</f>
        <v>2352.7999999999993</v>
      </c>
      <c r="R185" s="2"/>
    </row>
    <row r="186" spans="1:18" x14ac:dyDescent="0.25">
      <c r="A186">
        <v>1047</v>
      </c>
      <c r="B186" s="1">
        <v>45114</v>
      </c>
      <c r="C186" t="s">
        <v>30</v>
      </c>
      <c r="D186" t="s">
        <v>40</v>
      </c>
      <c r="E186" s="2">
        <v>9519.2999999999993</v>
      </c>
      <c r="F186">
        <v>15</v>
      </c>
      <c r="G186" t="s">
        <v>19</v>
      </c>
      <c r="H186" s="2">
        <v>957.95</v>
      </c>
      <c r="I186" s="2">
        <v>1329.26</v>
      </c>
      <c r="J186" t="s">
        <v>27</v>
      </c>
      <c r="K186">
        <v>0.21</v>
      </c>
      <c r="L186" t="s">
        <v>21</v>
      </c>
      <c r="M186" t="s">
        <v>22</v>
      </c>
      <c r="N186" t="s">
        <v>41</v>
      </c>
      <c r="O186" s="2">
        <f>_Salesdata[[#This Row],[Unit_Price]] * _Salesdata[[#This Row],[Quantity_Sold]]</f>
        <v>19938.900000000001</v>
      </c>
      <c r="P186" s="2">
        <f>_Salesdata[[#This Row],[Unit_Cost]] * _Salesdata[[#This Row],[Quantity_Sold]]</f>
        <v>14369.25</v>
      </c>
      <c r="Q186" s="2">
        <f>_Salesdata[[#This Row],[Gross_Sales]] - _Salesdata[[#This Row],[Total Cost]]</f>
        <v>5569.6500000000015</v>
      </c>
      <c r="R186" s="2"/>
    </row>
    <row r="187" spans="1:18" x14ac:dyDescent="0.25">
      <c r="A187">
        <v>1055</v>
      </c>
      <c r="B187" s="1">
        <v>45075</v>
      </c>
      <c r="C187" t="s">
        <v>48</v>
      </c>
      <c r="D187" t="s">
        <v>37</v>
      </c>
      <c r="E187" s="2">
        <v>4153.18</v>
      </c>
      <c r="F187">
        <v>40</v>
      </c>
      <c r="G187" t="s">
        <v>39</v>
      </c>
      <c r="H187" s="2">
        <v>959.73</v>
      </c>
      <c r="I187" s="2">
        <v>1111.4100000000001</v>
      </c>
      <c r="J187" t="s">
        <v>27</v>
      </c>
      <c r="K187">
        <v>0.23</v>
      </c>
      <c r="L187" t="s">
        <v>44</v>
      </c>
      <c r="M187" t="s">
        <v>22</v>
      </c>
      <c r="N187" t="s">
        <v>52</v>
      </c>
      <c r="O187" s="2">
        <f>_Salesdata[[#This Row],[Unit_Price]] * _Salesdata[[#This Row],[Quantity_Sold]]</f>
        <v>44456.4</v>
      </c>
      <c r="P187" s="2">
        <f>_Salesdata[[#This Row],[Unit_Cost]] * _Salesdata[[#This Row],[Quantity_Sold]]</f>
        <v>38389.199999999997</v>
      </c>
      <c r="Q187" s="2">
        <f>_Salesdata[[#This Row],[Gross_Sales]] - _Salesdata[[#This Row],[Total Cost]]</f>
        <v>6067.2000000000044</v>
      </c>
      <c r="R187" s="2"/>
    </row>
    <row r="188" spans="1:18" x14ac:dyDescent="0.25">
      <c r="A188">
        <v>1075</v>
      </c>
      <c r="B188" s="1">
        <v>45162</v>
      </c>
      <c r="C188" t="s">
        <v>35</v>
      </c>
      <c r="D188" t="s">
        <v>25</v>
      </c>
      <c r="E188" s="2">
        <v>2301.38</v>
      </c>
      <c r="F188">
        <v>42</v>
      </c>
      <c r="G188" t="s">
        <v>19</v>
      </c>
      <c r="H188" s="2">
        <v>967.77</v>
      </c>
      <c r="I188" s="2">
        <v>1414.88</v>
      </c>
      <c r="J188" t="s">
        <v>27</v>
      </c>
      <c r="K188">
        <v>0.17</v>
      </c>
      <c r="L188" t="s">
        <v>44</v>
      </c>
      <c r="M188" t="s">
        <v>22</v>
      </c>
      <c r="N188" t="s">
        <v>56</v>
      </c>
      <c r="O188" s="2">
        <f>_Salesdata[[#This Row],[Unit_Price]] * _Salesdata[[#This Row],[Quantity_Sold]]</f>
        <v>59424.960000000006</v>
      </c>
      <c r="P188" s="2">
        <f>_Salesdata[[#This Row],[Unit_Cost]] * _Salesdata[[#This Row],[Quantity_Sold]]</f>
        <v>40646.339999999997</v>
      </c>
      <c r="Q188" s="2">
        <f>_Salesdata[[#This Row],[Gross_Sales]] - _Salesdata[[#This Row],[Total Cost]]</f>
        <v>18778.62000000001</v>
      </c>
      <c r="R188" s="2"/>
    </row>
    <row r="189" spans="1:18" x14ac:dyDescent="0.25">
      <c r="A189">
        <v>1015</v>
      </c>
      <c r="B189" s="1">
        <v>45149</v>
      </c>
      <c r="C189" t="s">
        <v>48</v>
      </c>
      <c r="D189" t="s">
        <v>18</v>
      </c>
      <c r="E189" s="2">
        <v>3853.03</v>
      </c>
      <c r="F189">
        <v>32</v>
      </c>
      <c r="G189" t="s">
        <v>39</v>
      </c>
      <c r="H189" s="2">
        <v>970.51</v>
      </c>
      <c r="I189" s="2">
        <v>1330.84</v>
      </c>
      <c r="J189" t="s">
        <v>20</v>
      </c>
      <c r="K189">
        <v>0.06</v>
      </c>
      <c r="L189" t="s">
        <v>21</v>
      </c>
      <c r="M189" t="s">
        <v>32</v>
      </c>
      <c r="N189" t="s">
        <v>54</v>
      </c>
      <c r="O189" s="2">
        <f>_Salesdata[[#This Row],[Unit_Price]] * _Salesdata[[#This Row],[Quantity_Sold]]</f>
        <v>42586.879999999997</v>
      </c>
      <c r="P189" s="2">
        <f>_Salesdata[[#This Row],[Unit_Cost]] * _Salesdata[[#This Row],[Quantity_Sold]]</f>
        <v>31056.32</v>
      </c>
      <c r="Q189" s="2">
        <f>_Salesdata[[#This Row],[Gross_Sales]] - _Salesdata[[#This Row],[Total Cost]]</f>
        <v>11530.559999999998</v>
      </c>
      <c r="R189" s="2"/>
    </row>
    <row r="190" spans="1:18" x14ac:dyDescent="0.25">
      <c r="A190">
        <v>1063</v>
      </c>
      <c r="B190" s="1">
        <v>45128</v>
      </c>
      <c r="C190" t="s">
        <v>17</v>
      </c>
      <c r="D190" t="s">
        <v>18</v>
      </c>
      <c r="E190" s="2">
        <v>6359.59</v>
      </c>
      <c r="F190">
        <v>32</v>
      </c>
      <c r="G190" t="s">
        <v>26</v>
      </c>
      <c r="H190" s="2">
        <v>975.31</v>
      </c>
      <c r="I190" s="2">
        <v>1176.17</v>
      </c>
      <c r="J190" t="s">
        <v>27</v>
      </c>
      <c r="K190">
        <v>0.22</v>
      </c>
      <c r="L190" t="s">
        <v>44</v>
      </c>
      <c r="M190" t="s">
        <v>32</v>
      </c>
      <c r="N190" t="s">
        <v>23</v>
      </c>
      <c r="O190" s="2">
        <f>_Salesdata[[#This Row],[Unit_Price]] * _Salesdata[[#This Row],[Quantity_Sold]]</f>
        <v>37637.440000000002</v>
      </c>
      <c r="P190" s="2">
        <f>_Salesdata[[#This Row],[Unit_Cost]] * _Salesdata[[#This Row],[Quantity_Sold]]</f>
        <v>31209.919999999998</v>
      </c>
      <c r="Q190" s="2">
        <f>_Salesdata[[#This Row],[Gross_Sales]] - _Salesdata[[#This Row],[Total Cost]]</f>
        <v>6427.5200000000041</v>
      </c>
      <c r="R190" s="2"/>
    </row>
    <row r="191" spans="1:18" x14ac:dyDescent="0.25">
      <c r="A191">
        <v>1034</v>
      </c>
      <c r="B191" s="1">
        <v>45228</v>
      </c>
      <c r="C191" t="s">
        <v>30</v>
      </c>
      <c r="D191" t="s">
        <v>37</v>
      </c>
      <c r="E191" s="2">
        <v>8919.4699999999993</v>
      </c>
      <c r="F191">
        <v>34</v>
      </c>
      <c r="G191" t="s">
        <v>31</v>
      </c>
      <c r="H191" s="2">
        <v>978.15</v>
      </c>
      <c r="I191" s="2">
        <v>1040.21</v>
      </c>
      <c r="J191" t="s">
        <v>27</v>
      </c>
      <c r="K191">
        <v>0.12</v>
      </c>
      <c r="L191" t="s">
        <v>28</v>
      </c>
      <c r="M191" t="s">
        <v>32</v>
      </c>
      <c r="N191" t="s">
        <v>51</v>
      </c>
      <c r="O191" s="2">
        <f>_Salesdata[[#This Row],[Unit_Price]] * _Salesdata[[#This Row],[Quantity_Sold]]</f>
        <v>35367.14</v>
      </c>
      <c r="P191" s="2">
        <f>_Salesdata[[#This Row],[Unit_Cost]] * _Salesdata[[#This Row],[Quantity_Sold]]</f>
        <v>33257.1</v>
      </c>
      <c r="Q191" s="2">
        <f>_Salesdata[[#This Row],[Gross_Sales]] - _Salesdata[[#This Row],[Total Cost]]</f>
        <v>2110.0400000000009</v>
      </c>
      <c r="R191" s="2"/>
    </row>
    <row r="192" spans="1:18" x14ac:dyDescent="0.25">
      <c r="A192">
        <v>1064</v>
      </c>
      <c r="B192" s="1">
        <v>45098</v>
      </c>
      <c r="C192" t="s">
        <v>17</v>
      </c>
      <c r="D192" t="s">
        <v>25</v>
      </c>
      <c r="E192" s="2">
        <v>9215.59</v>
      </c>
      <c r="F192">
        <v>46</v>
      </c>
      <c r="G192" t="s">
        <v>26</v>
      </c>
      <c r="H192" s="2">
        <v>984.53</v>
      </c>
      <c r="I192" s="2">
        <v>1138.49</v>
      </c>
      <c r="J192" t="s">
        <v>27</v>
      </c>
      <c r="K192">
        <v>0.04</v>
      </c>
      <c r="L192" t="s">
        <v>44</v>
      </c>
      <c r="M192" t="s">
        <v>22</v>
      </c>
      <c r="N192" t="s">
        <v>34</v>
      </c>
      <c r="O192" s="2">
        <f>_Salesdata[[#This Row],[Unit_Price]] * _Salesdata[[#This Row],[Quantity_Sold]]</f>
        <v>52370.54</v>
      </c>
      <c r="P192" s="2">
        <f>_Salesdata[[#This Row],[Unit_Cost]] * _Salesdata[[#This Row],[Quantity_Sold]]</f>
        <v>45288.38</v>
      </c>
      <c r="Q192" s="2">
        <f>_Salesdata[[#This Row],[Gross_Sales]] - _Salesdata[[#This Row],[Total Cost]]</f>
        <v>7082.1600000000035</v>
      </c>
      <c r="R192" s="2"/>
    </row>
    <row r="193" spans="1:18" x14ac:dyDescent="0.25">
      <c r="A193">
        <v>1062</v>
      </c>
      <c r="B193" s="1">
        <v>45134</v>
      </c>
      <c r="C193" t="s">
        <v>30</v>
      </c>
      <c r="D193" t="s">
        <v>40</v>
      </c>
      <c r="E193" s="2">
        <v>4078.68</v>
      </c>
      <c r="F193">
        <v>44</v>
      </c>
      <c r="G193" t="s">
        <v>26</v>
      </c>
      <c r="H193" s="2">
        <v>987.74</v>
      </c>
      <c r="I193" s="2">
        <v>1462.19</v>
      </c>
      <c r="J193" t="s">
        <v>27</v>
      </c>
      <c r="K193">
        <v>0.24</v>
      </c>
      <c r="L193" t="s">
        <v>44</v>
      </c>
      <c r="M193" t="s">
        <v>22</v>
      </c>
      <c r="N193" t="s">
        <v>41</v>
      </c>
      <c r="O193" s="2">
        <f>_Salesdata[[#This Row],[Unit_Price]] * _Salesdata[[#This Row],[Quantity_Sold]]</f>
        <v>64336.36</v>
      </c>
      <c r="P193" s="2">
        <f>_Salesdata[[#This Row],[Unit_Cost]] * _Salesdata[[#This Row],[Quantity_Sold]]</f>
        <v>43460.56</v>
      </c>
      <c r="Q193" s="2">
        <f>_Salesdata[[#This Row],[Gross_Sales]] - _Salesdata[[#This Row],[Total Cost]]</f>
        <v>20875.800000000003</v>
      </c>
      <c r="R193" s="2"/>
    </row>
    <row r="194" spans="1:18" x14ac:dyDescent="0.25">
      <c r="A194">
        <v>1096</v>
      </c>
      <c r="B194" s="1">
        <v>45048</v>
      </c>
      <c r="C194" t="s">
        <v>24</v>
      </c>
      <c r="D194" t="s">
        <v>18</v>
      </c>
      <c r="E194" s="2">
        <v>4649.88</v>
      </c>
      <c r="F194">
        <v>32</v>
      </c>
      <c r="G194" t="s">
        <v>39</v>
      </c>
      <c r="H194" s="2">
        <v>991.63</v>
      </c>
      <c r="I194" s="2">
        <v>1065.55</v>
      </c>
      <c r="J194" t="s">
        <v>20</v>
      </c>
      <c r="K194">
        <v>0.22</v>
      </c>
      <c r="L194" t="s">
        <v>44</v>
      </c>
      <c r="M194" t="s">
        <v>32</v>
      </c>
      <c r="N194" t="s">
        <v>46</v>
      </c>
      <c r="O194" s="2">
        <f>_Salesdata[[#This Row],[Unit_Price]] * _Salesdata[[#This Row],[Quantity_Sold]]</f>
        <v>34097.599999999999</v>
      </c>
      <c r="P194" s="2">
        <f>_Salesdata[[#This Row],[Unit_Cost]] * _Salesdata[[#This Row],[Quantity_Sold]]</f>
        <v>31732.16</v>
      </c>
      <c r="Q194" s="2">
        <f>_Salesdata[[#This Row],[Gross_Sales]] - _Salesdata[[#This Row],[Total Cost]]</f>
        <v>2365.4399999999987</v>
      </c>
      <c r="R194" s="2"/>
    </row>
    <row r="195" spans="1:18" x14ac:dyDescent="0.25">
      <c r="A195">
        <v>1062</v>
      </c>
      <c r="B195" s="1">
        <v>45051</v>
      </c>
      <c r="C195" t="s">
        <v>48</v>
      </c>
      <c r="D195" t="s">
        <v>40</v>
      </c>
      <c r="E195" s="2">
        <v>594.79</v>
      </c>
      <c r="F195">
        <v>26</v>
      </c>
      <c r="G195" t="s">
        <v>19</v>
      </c>
      <c r="H195" s="2">
        <v>992.17</v>
      </c>
      <c r="I195" s="2">
        <v>1263.49</v>
      </c>
      <c r="J195" t="s">
        <v>20</v>
      </c>
      <c r="K195">
        <v>0.25</v>
      </c>
      <c r="L195" t="s">
        <v>44</v>
      </c>
      <c r="M195" t="s">
        <v>32</v>
      </c>
      <c r="N195" t="s">
        <v>50</v>
      </c>
      <c r="O195" s="2">
        <f>_Salesdata[[#This Row],[Unit_Price]] * _Salesdata[[#This Row],[Quantity_Sold]]</f>
        <v>32850.74</v>
      </c>
      <c r="P195" s="2">
        <f>_Salesdata[[#This Row],[Unit_Cost]] * _Salesdata[[#This Row],[Quantity_Sold]]</f>
        <v>25796.42</v>
      </c>
      <c r="Q195" s="2">
        <f>_Salesdata[[#This Row],[Gross_Sales]] - _Salesdata[[#This Row],[Total Cost]]</f>
        <v>7054.32</v>
      </c>
      <c r="R195" s="2"/>
    </row>
    <row r="196" spans="1:18" x14ac:dyDescent="0.25">
      <c r="A196">
        <v>1027</v>
      </c>
      <c r="B196" s="1">
        <v>44964</v>
      </c>
      <c r="C196" t="s">
        <v>17</v>
      </c>
      <c r="D196" t="s">
        <v>25</v>
      </c>
      <c r="E196" s="2">
        <v>7896.74</v>
      </c>
      <c r="F196">
        <v>3</v>
      </c>
      <c r="G196" t="s">
        <v>31</v>
      </c>
      <c r="H196" s="2">
        <v>999.09</v>
      </c>
      <c r="I196" s="2">
        <v>1271.99</v>
      </c>
      <c r="J196" t="s">
        <v>27</v>
      </c>
      <c r="K196">
        <v>0.15</v>
      </c>
      <c r="L196" t="s">
        <v>28</v>
      </c>
      <c r="M196" t="s">
        <v>22</v>
      </c>
      <c r="N196" t="s">
        <v>34</v>
      </c>
      <c r="O196" s="2">
        <f>_Salesdata[[#This Row],[Unit_Price]] * _Salesdata[[#This Row],[Quantity_Sold]]</f>
        <v>3815.9700000000003</v>
      </c>
      <c r="P196" s="2">
        <f>_Salesdata[[#This Row],[Unit_Cost]] * _Salesdata[[#This Row],[Quantity_Sold]]</f>
        <v>2997.27</v>
      </c>
      <c r="Q196" s="2">
        <f>_Salesdata[[#This Row],[Gross_Sales]] - _Salesdata[[#This Row],[Total Cost]]</f>
        <v>818.70000000000027</v>
      </c>
      <c r="R196" s="2"/>
    </row>
    <row r="197" spans="1:18" x14ac:dyDescent="0.25">
      <c r="A197">
        <v>1051</v>
      </c>
      <c r="B197" s="1">
        <v>45046</v>
      </c>
      <c r="C197" t="s">
        <v>17</v>
      </c>
      <c r="D197" t="s">
        <v>25</v>
      </c>
      <c r="E197" s="2">
        <v>5571.8</v>
      </c>
      <c r="F197">
        <v>3</v>
      </c>
      <c r="G197" t="s">
        <v>31</v>
      </c>
      <c r="H197" s="2">
        <v>1000.18</v>
      </c>
      <c r="I197" s="2">
        <v>1023.64</v>
      </c>
      <c r="J197" t="s">
        <v>20</v>
      </c>
      <c r="K197">
        <v>0.04</v>
      </c>
      <c r="L197" t="s">
        <v>28</v>
      </c>
      <c r="M197" t="s">
        <v>22</v>
      </c>
      <c r="N197" t="s">
        <v>34</v>
      </c>
      <c r="O197" s="2">
        <f>_Salesdata[[#This Row],[Unit_Price]] * _Salesdata[[#This Row],[Quantity_Sold]]</f>
        <v>3070.92</v>
      </c>
      <c r="P197" s="2">
        <f>_Salesdata[[#This Row],[Unit_Cost]] * _Salesdata[[#This Row],[Quantity_Sold]]</f>
        <v>3000.54</v>
      </c>
      <c r="Q197" s="2">
        <f>_Salesdata[[#This Row],[Gross_Sales]] - _Salesdata[[#This Row],[Total Cost]]</f>
        <v>70.380000000000109</v>
      </c>
      <c r="R197" s="2"/>
    </row>
    <row r="198" spans="1:18" x14ac:dyDescent="0.25">
      <c r="A198">
        <v>1002</v>
      </c>
      <c r="B198" s="1">
        <v>45213</v>
      </c>
      <c r="C198" t="s">
        <v>30</v>
      </c>
      <c r="D198" t="s">
        <v>40</v>
      </c>
      <c r="E198" s="2">
        <v>8951.5300000000007</v>
      </c>
      <c r="F198">
        <v>39</v>
      </c>
      <c r="G198" t="s">
        <v>19</v>
      </c>
      <c r="H198" s="2">
        <v>1004.71</v>
      </c>
      <c r="I198" s="2">
        <v>1389.35</v>
      </c>
      <c r="J198" t="s">
        <v>27</v>
      </c>
      <c r="K198">
        <v>0.24</v>
      </c>
      <c r="L198" t="s">
        <v>44</v>
      </c>
      <c r="M198" t="s">
        <v>22</v>
      </c>
      <c r="N198" t="s">
        <v>41</v>
      </c>
      <c r="O198" s="2">
        <f>_Salesdata[[#This Row],[Unit_Price]] * _Salesdata[[#This Row],[Quantity_Sold]]</f>
        <v>54184.649999999994</v>
      </c>
      <c r="P198" s="2">
        <f>_Salesdata[[#This Row],[Unit_Cost]] * _Salesdata[[#This Row],[Quantity_Sold]]</f>
        <v>39183.69</v>
      </c>
      <c r="Q198" s="2">
        <f>_Salesdata[[#This Row],[Gross_Sales]] - _Salesdata[[#This Row],[Total Cost]]</f>
        <v>15000.959999999992</v>
      </c>
      <c r="R198" s="2"/>
    </row>
    <row r="199" spans="1:18" x14ac:dyDescent="0.25">
      <c r="A199">
        <v>1018</v>
      </c>
      <c r="B199" s="1">
        <v>45098</v>
      </c>
      <c r="C199" t="s">
        <v>48</v>
      </c>
      <c r="D199" t="s">
        <v>37</v>
      </c>
      <c r="E199" s="2">
        <v>750.38</v>
      </c>
      <c r="F199">
        <v>28</v>
      </c>
      <c r="G199" t="s">
        <v>19</v>
      </c>
      <c r="H199" s="2">
        <v>1006.14</v>
      </c>
      <c r="I199" s="2">
        <v>1043.45</v>
      </c>
      <c r="J199" t="s">
        <v>27</v>
      </c>
      <c r="K199">
        <v>0.15</v>
      </c>
      <c r="L199" t="s">
        <v>44</v>
      </c>
      <c r="M199" t="s">
        <v>32</v>
      </c>
      <c r="N199" t="s">
        <v>52</v>
      </c>
      <c r="O199" s="2">
        <f>_Salesdata[[#This Row],[Unit_Price]] * _Salesdata[[#This Row],[Quantity_Sold]]</f>
        <v>29216.600000000002</v>
      </c>
      <c r="P199" s="2">
        <f>_Salesdata[[#This Row],[Unit_Cost]] * _Salesdata[[#This Row],[Quantity_Sold]]</f>
        <v>28171.919999999998</v>
      </c>
      <c r="Q199" s="2">
        <f>_Salesdata[[#This Row],[Gross_Sales]] - _Salesdata[[#This Row],[Total Cost]]</f>
        <v>1044.6800000000039</v>
      </c>
      <c r="R199" s="2"/>
    </row>
    <row r="200" spans="1:18" x14ac:dyDescent="0.25">
      <c r="A200">
        <v>1058</v>
      </c>
      <c r="B200" s="1">
        <v>45021</v>
      </c>
      <c r="C200" t="s">
        <v>24</v>
      </c>
      <c r="D200" t="s">
        <v>37</v>
      </c>
      <c r="E200" s="2">
        <v>2072.23</v>
      </c>
      <c r="F200">
        <v>33</v>
      </c>
      <c r="G200" t="s">
        <v>39</v>
      </c>
      <c r="H200" s="2">
        <v>1011.65</v>
      </c>
      <c r="I200" s="2">
        <v>1084.28</v>
      </c>
      <c r="J200" t="s">
        <v>20</v>
      </c>
      <c r="K200">
        <v>7.0000000000000007E-2</v>
      </c>
      <c r="L200" t="s">
        <v>44</v>
      </c>
      <c r="M200" t="s">
        <v>32</v>
      </c>
      <c r="N200" t="s">
        <v>53</v>
      </c>
      <c r="O200" s="2">
        <f>_Salesdata[[#This Row],[Unit_Price]] * _Salesdata[[#This Row],[Quantity_Sold]]</f>
        <v>35781.24</v>
      </c>
      <c r="P200" s="2">
        <f>_Salesdata[[#This Row],[Unit_Cost]] * _Salesdata[[#This Row],[Quantity_Sold]]</f>
        <v>33384.449999999997</v>
      </c>
      <c r="Q200" s="2">
        <f>_Salesdata[[#This Row],[Gross_Sales]] - _Salesdata[[#This Row],[Total Cost]]</f>
        <v>2396.7900000000009</v>
      </c>
      <c r="R200" s="2"/>
    </row>
    <row r="201" spans="1:18" x14ac:dyDescent="0.25">
      <c r="A201">
        <v>1016</v>
      </c>
      <c r="B201" s="1">
        <v>45080</v>
      </c>
      <c r="C201" t="s">
        <v>30</v>
      </c>
      <c r="D201" t="s">
        <v>25</v>
      </c>
      <c r="E201" s="2">
        <v>5848.92</v>
      </c>
      <c r="F201">
        <v>46</v>
      </c>
      <c r="G201" t="s">
        <v>19</v>
      </c>
      <c r="H201" s="2">
        <v>1023.5</v>
      </c>
      <c r="I201" s="2">
        <v>1164.4100000000001</v>
      </c>
      <c r="J201" t="s">
        <v>20</v>
      </c>
      <c r="K201">
        <v>0.28000000000000003</v>
      </c>
      <c r="L201" t="s">
        <v>28</v>
      </c>
      <c r="M201" t="s">
        <v>32</v>
      </c>
      <c r="N201" t="s">
        <v>45</v>
      </c>
      <c r="O201" s="2">
        <f>_Salesdata[[#This Row],[Unit_Price]] * _Salesdata[[#This Row],[Quantity_Sold]]</f>
        <v>53562.86</v>
      </c>
      <c r="P201" s="2">
        <f>_Salesdata[[#This Row],[Unit_Cost]] * _Salesdata[[#This Row],[Quantity_Sold]]</f>
        <v>47081</v>
      </c>
      <c r="Q201" s="2">
        <f>_Salesdata[[#This Row],[Gross_Sales]] - _Salesdata[[#This Row],[Total Cost]]</f>
        <v>6481.8600000000006</v>
      </c>
      <c r="R201" s="2"/>
    </row>
    <row r="202" spans="1:18" x14ac:dyDescent="0.25">
      <c r="A202">
        <v>1100</v>
      </c>
      <c r="B202" s="1">
        <v>45245</v>
      </c>
      <c r="C202" t="s">
        <v>48</v>
      </c>
      <c r="D202" t="s">
        <v>18</v>
      </c>
      <c r="E202" s="2">
        <v>672.66</v>
      </c>
      <c r="F202">
        <v>2</v>
      </c>
      <c r="G202" t="s">
        <v>39</v>
      </c>
      <c r="H202" s="2">
        <v>1036.76</v>
      </c>
      <c r="I202" s="2">
        <v>1189.3499999999999</v>
      </c>
      <c r="J202" t="s">
        <v>27</v>
      </c>
      <c r="K202">
        <v>0.27</v>
      </c>
      <c r="L202" t="s">
        <v>44</v>
      </c>
      <c r="M202" t="s">
        <v>22</v>
      </c>
      <c r="N202" t="s">
        <v>54</v>
      </c>
      <c r="O202" s="2">
        <f>_Salesdata[[#This Row],[Unit_Price]] * _Salesdata[[#This Row],[Quantity_Sold]]</f>
        <v>2378.6999999999998</v>
      </c>
      <c r="P202" s="2">
        <f>_Salesdata[[#This Row],[Unit_Cost]] * _Salesdata[[#This Row],[Quantity_Sold]]</f>
        <v>2073.52</v>
      </c>
      <c r="Q202" s="2">
        <f>_Salesdata[[#This Row],[Gross_Sales]] - _Salesdata[[#This Row],[Total Cost]]</f>
        <v>305.17999999999984</v>
      </c>
      <c r="R202" s="2"/>
    </row>
    <row r="203" spans="1:18" x14ac:dyDescent="0.25">
      <c r="A203">
        <v>1063</v>
      </c>
      <c r="B203" s="1">
        <v>45139</v>
      </c>
      <c r="C203" t="s">
        <v>17</v>
      </c>
      <c r="D203" t="s">
        <v>40</v>
      </c>
      <c r="E203" s="2">
        <v>6346.13</v>
      </c>
      <c r="F203">
        <v>4</v>
      </c>
      <c r="G203" t="s">
        <v>26</v>
      </c>
      <c r="H203" s="2">
        <v>1046.26</v>
      </c>
      <c r="I203" s="2">
        <v>1475.29</v>
      </c>
      <c r="J203" t="s">
        <v>20</v>
      </c>
      <c r="K203">
        <v>0.09</v>
      </c>
      <c r="L203" t="s">
        <v>44</v>
      </c>
      <c r="M203" t="s">
        <v>32</v>
      </c>
      <c r="N203" t="s">
        <v>42</v>
      </c>
      <c r="O203" s="2">
        <f>_Salesdata[[#This Row],[Unit_Price]] * _Salesdata[[#This Row],[Quantity_Sold]]</f>
        <v>5901.16</v>
      </c>
      <c r="P203" s="2">
        <f>_Salesdata[[#This Row],[Unit_Cost]] * _Salesdata[[#This Row],[Quantity_Sold]]</f>
        <v>4185.04</v>
      </c>
      <c r="Q203" s="2">
        <f>_Salesdata[[#This Row],[Gross_Sales]] - _Salesdata[[#This Row],[Total Cost]]</f>
        <v>1716.12</v>
      </c>
      <c r="R203" s="2"/>
    </row>
    <row r="204" spans="1:18" x14ac:dyDescent="0.25">
      <c r="A204">
        <v>1063</v>
      </c>
      <c r="B204" s="1">
        <v>45153</v>
      </c>
      <c r="C204" t="s">
        <v>24</v>
      </c>
      <c r="D204" t="s">
        <v>18</v>
      </c>
      <c r="E204" s="2">
        <v>2780.98</v>
      </c>
      <c r="F204">
        <v>26</v>
      </c>
      <c r="G204" t="s">
        <v>31</v>
      </c>
      <c r="H204" s="2">
        <v>1046.96</v>
      </c>
      <c r="I204" s="2">
        <v>1528.15</v>
      </c>
      <c r="J204" t="s">
        <v>27</v>
      </c>
      <c r="K204">
        <v>7.0000000000000007E-2</v>
      </c>
      <c r="L204" t="s">
        <v>28</v>
      </c>
      <c r="M204" t="s">
        <v>32</v>
      </c>
      <c r="N204" t="s">
        <v>46</v>
      </c>
      <c r="O204" s="2">
        <f>_Salesdata[[#This Row],[Unit_Price]] * _Salesdata[[#This Row],[Quantity_Sold]]</f>
        <v>39731.9</v>
      </c>
      <c r="P204" s="2">
        <f>_Salesdata[[#This Row],[Unit_Cost]] * _Salesdata[[#This Row],[Quantity_Sold]]</f>
        <v>27220.959999999999</v>
      </c>
      <c r="Q204" s="2">
        <f>_Salesdata[[#This Row],[Gross_Sales]] - _Salesdata[[#This Row],[Total Cost]]</f>
        <v>12510.940000000002</v>
      </c>
      <c r="R204" s="2"/>
    </row>
    <row r="205" spans="1:18" x14ac:dyDescent="0.25">
      <c r="A205">
        <v>1093</v>
      </c>
      <c r="B205" s="1">
        <v>45192</v>
      </c>
      <c r="C205" t="s">
        <v>35</v>
      </c>
      <c r="D205" t="s">
        <v>37</v>
      </c>
      <c r="E205" s="2">
        <v>9787.4</v>
      </c>
      <c r="F205">
        <v>40</v>
      </c>
      <c r="G205" t="s">
        <v>39</v>
      </c>
      <c r="H205" s="2">
        <v>1047.25</v>
      </c>
      <c r="I205" s="2">
        <v>1075.8900000000001</v>
      </c>
      <c r="J205" t="s">
        <v>27</v>
      </c>
      <c r="K205">
        <v>0.28000000000000003</v>
      </c>
      <c r="L205" t="s">
        <v>28</v>
      </c>
      <c r="M205" t="s">
        <v>32</v>
      </c>
      <c r="N205" t="s">
        <v>38</v>
      </c>
      <c r="O205" s="2">
        <f>_Salesdata[[#This Row],[Unit_Price]] * _Salesdata[[#This Row],[Quantity_Sold]]</f>
        <v>43035.600000000006</v>
      </c>
      <c r="P205" s="2">
        <f>_Salesdata[[#This Row],[Unit_Cost]] * _Salesdata[[#This Row],[Quantity_Sold]]</f>
        <v>41890</v>
      </c>
      <c r="Q205" s="2">
        <f>_Salesdata[[#This Row],[Gross_Sales]] - _Salesdata[[#This Row],[Total Cost]]</f>
        <v>1145.6000000000058</v>
      </c>
      <c r="R205" s="2"/>
    </row>
    <row r="206" spans="1:18" x14ac:dyDescent="0.25">
      <c r="A206">
        <v>1062</v>
      </c>
      <c r="B206" s="1">
        <v>45231</v>
      </c>
      <c r="C206" t="s">
        <v>17</v>
      </c>
      <c r="D206" t="s">
        <v>18</v>
      </c>
      <c r="E206" s="2">
        <v>3720.24</v>
      </c>
      <c r="F206">
        <v>36</v>
      </c>
      <c r="G206" t="s">
        <v>31</v>
      </c>
      <c r="H206" s="2">
        <v>1050.6400000000001</v>
      </c>
      <c r="I206" s="2">
        <v>1167.33</v>
      </c>
      <c r="J206" t="s">
        <v>27</v>
      </c>
      <c r="K206">
        <v>0.22</v>
      </c>
      <c r="L206" t="s">
        <v>21</v>
      </c>
      <c r="M206" t="s">
        <v>22</v>
      </c>
      <c r="N206" t="s">
        <v>23</v>
      </c>
      <c r="O206" s="2">
        <f>_Salesdata[[#This Row],[Unit_Price]] * _Salesdata[[#This Row],[Quantity_Sold]]</f>
        <v>42023.88</v>
      </c>
      <c r="P206" s="2">
        <f>_Salesdata[[#This Row],[Unit_Cost]] * _Salesdata[[#This Row],[Quantity_Sold]]</f>
        <v>37823.040000000001</v>
      </c>
      <c r="Q206" s="2">
        <f>_Salesdata[[#This Row],[Gross_Sales]] - _Salesdata[[#This Row],[Total Cost]]</f>
        <v>4200.8399999999965</v>
      </c>
      <c r="R206" s="2"/>
    </row>
    <row r="207" spans="1:18" x14ac:dyDescent="0.25">
      <c r="A207">
        <v>1039</v>
      </c>
      <c r="B207" s="1">
        <v>44934</v>
      </c>
      <c r="C207" t="s">
        <v>48</v>
      </c>
      <c r="D207" t="s">
        <v>40</v>
      </c>
      <c r="E207" s="2">
        <v>3613.75</v>
      </c>
      <c r="F207">
        <v>4</v>
      </c>
      <c r="G207" t="s">
        <v>26</v>
      </c>
      <c r="H207" s="2">
        <v>1054.1199999999999</v>
      </c>
      <c r="I207" s="2">
        <v>1175.21999999999</v>
      </c>
      <c r="J207" t="s">
        <v>20</v>
      </c>
      <c r="K207">
        <v>0.12</v>
      </c>
      <c r="L207" t="s">
        <v>44</v>
      </c>
      <c r="M207" t="s">
        <v>32</v>
      </c>
      <c r="N207" t="s">
        <v>50</v>
      </c>
      <c r="O207" s="2">
        <f>_Salesdata[[#This Row],[Unit_Price]] * _Salesdata[[#This Row],[Quantity_Sold]]</f>
        <v>4700.8799999999601</v>
      </c>
      <c r="P207" s="2">
        <f>_Salesdata[[#This Row],[Unit_Cost]] * _Salesdata[[#This Row],[Quantity_Sold]]</f>
        <v>4216.4799999999996</v>
      </c>
      <c r="Q207" s="2">
        <f>_Salesdata[[#This Row],[Gross_Sales]] - _Salesdata[[#This Row],[Total Cost]]</f>
        <v>484.39999999996053</v>
      </c>
      <c r="R207" s="2"/>
    </row>
    <row r="208" spans="1:18" x14ac:dyDescent="0.25">
      <c r="A208">
        <v>1086</v>
      </c>
      <c r="B208" s="1">
        <v>45127</v>
      </c>
      <c r="C208" t="s">
        <v>17</v>
      </c>
      <c r="D208" t="s">
        <v>37</v>
      </c>
      <c r="E208" s="2">
        <v>7075.09</v>
      </c>
      <c r="F208">
        <v>17</v>
      </c>
      <c r="G208" t="s">
        <v>31</v>
      </c>
      <c r="H208" s="2">
        <v>1057.27</v>
      </c>
      <c r="I208" s="2">
        <v>1366.62</v>
      </c>
      <c r="J208" t="s">
        <v>27</v>
      </c>
      <c r="K208">
        <v>0.21</v>
      </c>
      <c r="L208" t="s">
        <v>28</v>
      </c>
      <c r="M208" t="s">
        <v>32</v>
      </c>
      <c r="N208" t="s">
        <v>47</v>
      </c>
      <c r="O208" s="2">
        <f>_Salesdata[[#This Row],[Unit_Price]] * _Salesdata[[#This Row],[Quantity_Sold]]</f>
        <v>23232.539999999997</v>
      </c>
      <c r="P208" s="2">
        <f>_Salesdata[[#This Row],[Unit_Cost]] * _Salesdata[[#This Row],[Quantity_Sold]]</f>
        <v>17973.59</v>
      </c>
      <c r="Q208" s="2">
        <f>_Salesdata[[#This Row],[Gross_Sales]] - _Salesdata[[#This Row],[Total Cost]]</f>
        <v>5258.9499999999971</v>
      </c>
      <c r="R208" s="2"/>
    </row>
    <row r="209" spans="1:18" x14ac:dyDescent="0.25">
      <c r="A209">
        <v>1004</v>
      </c>
      <c r="B209" s="1">
        <v>45120</v>
      </c>
      <c r="C209" t="s">
        <v>48</v>
      </c>
      <c r="D209" t="s">
        <v>18</v>
      </c>
      <c r="E209" s="2">
        <v>1526.38</v>
      </c>
      <c r="F209">
        <v>16</v>
      </c>
      <c r="G209" t="s">
        <v>19</v>
      </c>
      <c r="H209" s="2">
        <v>1067.83</v>
      </c>
      <c r="I209" s="2">
        <v>1189.22</v>
      </c>
      <c r="J209" t="s">
        <v>20</v>
      </c>
      <c r="K209">
        <v>0.26</v>
      </c>
      <c r="L209" t="s">
        <v>28</v>
      </c>
      <c r="M209" t="s">
        <v>32</v>
      </c>
      <c r="N209" t="s">
        <v>54</v>
      </c>
      <c r="O209" s="2">
        <f>_Salesdata[[#This Row],[Unit_Price]] * _Salesdata[[#This Row],[Quantity_Sold]]</f>
        <v>19027.52</v>
      </c>
      <c r="P209" s="2">
        <f>_Salesdata[[#This Row],[Unit_Cost]] * _Salesdata[[#This Row],[Quantity_Sold]]</f>
        <v>17085.28</v>
      </c>
      <c r="Q209" s="2">
        <f>_Salesdata[[#This Row],[Gross_Sales]] - _Salesdata[[#This Row],[Total Cost]]</f>
        <v>1942.2400000000016</v>
      </c>
      <c r="R209" s="2"/>
    </row>
    <row r="210" spans="1:18" x14ac:dyDescent="0.25">
      <c r="A210">
        <v>1017</v>
      </c>
      <c r="B210" s="1">
        <v>45123</v>
      </c>
      <c r="C210" t="s">
        <v>24</v>
      </c>
      <c r="D210" t="s">
        <v>40</v>
      </c>
      <c r="E210" s="2">
        <v>3137.09</v>
      </c>
      <c r="F210">
        <v>18</v>
      </c>
      <c r="G210" t="s">
        <v>39</v>
      </c>
      <c r="H210" s="2">
        <v>1069.73</v>
      </c>
      <c r="I210" s="2">
        <v>1180.04</v>
      </c>
      <c r="J210" t="s">
        <v>20</v>
      </c>
      <c r="K210">
        <v>0.22</v>
      </c>
      <c r="L210" t="s">
        <v>44</v>
      </c>
      <c r="M210" t="s">
        <v>22</v>
      </c>
      <c r="N210" t="s">
        <v>55</v>
      </c>
      <c r="O210" s="2">
        <f>_Salesdata[[#This Row],[Unit_Price]] * _Salesdata[[#This Row],[Quantity_Sold]]</f>
        <v>21240.720000000001</v>
      </c>
      <c r="P210" s="2">
        <f>_Salesdata[[#This Row],[Unit_Cost]] * _Salesdata[[#This Row],[Quantity_Sold]]</f>
        <v>19255.14</v>
      </c>
      <c r="Q210" s="2">
        <f>_Salesdata[[#This Row],[Gross_Sales]] - _Salesdata[[#This Row],[Total Cost]]</f>
        <v>1985.5800000000017</v>
      </c>
      <c r="R210" s="2"/>
    </row>
    <row r="211" spans="1:18" x14ac:dyDescent="0.25">
      <c r="A211">
        <v>1037</v>
      </c>
      <c r="B211" s="1">
        <v>44949</v>
      </c>
      <c r="C211" t="s">
        <v>35</v>
      </c>
      <c r="D211" t="s">
        <v>18</v>
      </c>
      <c r="E211" s="2">
        <v>3649.93</v>
      </c>
      <c r="F211">
        <v>25</v>
      </c>
      <c r="G211" t="s">
        <v>31</v>
      </c>
      <c r="H211" s="2">
        <v>1074.6199999999999</v>
      </c>
      <c r="I211" s="2">
        <v>1382.4299999999901</v>
      </c>
      <c r="J211" t="s">
        <v>20</v>
      </c>
      <c r="K211">
        <v>0.24</v>
      </c>
      <c r="L211" t="s">
        <v>28</v>
      </c>
      <c r="M211" t="s">
        <v>32</v>
      </c>
      <c r="N211" t="s">
        <v>36</v>
      </c>
      <c r="O211" s="2">
        <f>_Salesdata[[#This Row],[Unit_Price]] * _Salesdata[[#This Row],[Quantity_Sold]]</f>
        <v>34560.749999999753</v>
      </c>
      <c r="P211" s="2">
        <f>_Salesdata[[#This Row],[Unit_Cost]] * _Salesdata[[#This Row],[Quantity_Sold]]</f>
        <v>26865.499999999996</v>
      </c>
      <c r="Q211" s="2">
        <f>_Salesdata[[#This Row],[Gross_Sales]] - _Salesdata[[#This Row],[Total Cost]]</f>
        <v>7695.2499999997563</v>
      </c>
      <c r="R211" s="2"/>
    </row>
    <row r="212" spans="1:18" x14ac:dyDescent="0.25">
      <c r="A212">
        <v>1085</v>
      </c>
      <c r="B212" s="1">
        <v>45244</v>
      </c>
      <c r="C212" t="s">
        <v>35</v>
      </c>
      <c r="D212" t="s">
        <v>40</v>
      </c>
      <c r="E212" s="2">
        <v>2038.75</v>
      </c>
      <c r="F212">
        <v>32</v>
      </c>
      <c r="G212" t="s">
        <v>39</v>
      </c>
      <c r="H212" s="2">
        <v>1074.93</v>
      </c>
      <c r="I212" s="2">
        <v>1492.48</v>
      </c>
      <c r="J212" t="s">
        <v>20</v>
      </c>
      <c r="K212">
        <v>0.04</v>
      </c>
      <c r="L212" t="s">
        <v>28</v>
      </c>
      <c r="M212" t="s">
        <v>32</v>
      </c>
      <c r="N212" t="s">
        <v>43</v>
      </c>
      <c r="O212" s="2">
        <f>_Salesdata[[#This Row],[Unit_Price]] * _Salesdata[[#This Row],[Quantity_Sold]]</f>
        <v>47759.360000000001</v>
      </c>
      <c r="P212" s="2">
        <f>_Salesdata[[#This Row],[Unit_Cost]] * _Salesdata[[#This Row],[Quantity_Sold]]</f>
        <v>34397.760000000002</v>
      </c>
      <c r="Q212" s="2">
        <f>_Salesdata[[#This Row],[Gross_Sales]] - _Salesdata[[#This Row],[Total Cost]]</f>
        <v>13361.599999999999</v>
      </c>
      <c r="R212" s="2"/>
    </row>
    <row r="213" spans="1:18" x14ac:dyDescent="0.25">
      <c r="A213">
        <v>1056</v>
      </c>
      <c r="B213" s="1">
        <v>44967</v>
      </c>
      <c r="C213" t="s">
        <v>17</v>
      </c>
      <c r="D213" t="s">
        <v>25</v>
      </c>
      <c r="E213" s="2">
        <v>3063.9</v>
      </c>
      <c r="F213">
        <v>42</v>
      </c>
      <c r="G213" t="s">
        <v>39</v>
      </c>
      <c r="H213" s="2">
        <v>1080.1199999999999</v>
      </c>
      <c r="I213" s="2">
        <v>1424.1699999999901</v>
      </c>
      <c r="J213" t="s">
        <v>27</v>
      </c>
      <c r="K213">
        <v>0.1</v>
      </c>
      <c r="L213" t="s">
        <v>21</v>
      </c>
      <c r="M213" t="s">
        <v>22</v>
      </c>
      <c r="N213" t="s">
        <v>34</v>
      </c>
      <c r="O213" s="2">
        <f>_Salesdata[[#This Row],[Unit_Price]] * _Salesdata[[#This Row],[Quantity_Sold]]</f>
        <v>59815.139999999585</v>
      </c>
      <c r="P213" s="2">
        <f>_Salesdata[[#This Row],[Unit_Cost]] * _Salesdata[[#This Row],[Quantity_Sold]]</f>
        <v>45365.039999999994</v>
      </c>
      <c r="Q213" s="2">
        <f>_Salesdata[[#This Row],[Gross_Sales]] - _Salesdata[[#This Row],[Total Cost]]</f>
        <v>14450.099999999591</v>
      </c>
      <c r="R213" s="2"/>
    </row>
    <row r="214" spans="1:18" x14ac:dyDescent="0.25">
      <c r="A214">
        <v>1069</v>
      </c>
      <c r="B214" s="1">
        <v>45073</v>
      </c>
      <c r="C214" t="s">
        <v>35</v>
      </c>
      <c r="D214" t="s">
        <v>25</v>
      </c>
      <c r="E214" s="2">
        <v>5760.29</v>
      </c>
      <c r="F214">
        <v>44</v>
      </c>
      <c r="G214" t="s">
        <v>26</v>
      </c>
      <c r="H214" s="2">
        <v>1084.73</v>
      </c>
      <c r="I214" s="2">
        <v>1420.9</v>
      </c>
      <c r="J214" t="s">
        <v>20</v>
      </c>
      <c r="K214">
        <v>0.05</v>
      </c>
      <c r="L214" t="s">
        <v>28</v>
      </c>
      <c r="M214" t="s">
        <v>22</v>
      </c>
      <c r="N214" t="s">
        <v>56</v>
      </c>
      <c r="O214" s="2">
        <f>_Salesdata[[#This Row],[Unit_Price]] * _Salesdata[[#This Row],[Quantity_Sold]]</f>
        <v>62519.600000000006</v>
      </c>
      <c r="P214" s="2">
        <f>_Salesdata[[#This Row],[Unit_Cost]] * _Salesdata[[#This Row],[Quantity_Sold]]</f>
        <v>47728.12</v>
      </c>
      <c r="Q214" s="2">
        <f>_Salesdata[[#This Row],[Gross_Sales]] - _Salesdata[[#This Row],[Total Cost]]</f>
        <v>14791.480000000003</v>
      </c>
      <c r="R214" s="2"/>
    </row>
    <row r="215" spans="1:18" x14ac:dyDescent="0.25">
      <c r="A215">
        <v>1062</v>
      </c>
      <c r="B215" s="1">
        <v>45248</v>
      </c>
      <c r="C215" t="s">
        <v>24</v>
      </c>
      <c r="D215" t="s">
        <v>18</v>
      </c>
      <c r="E215" s="2">
        <v>291.33999999999997</v>
      </c>
      <c r="F215">
        <v>12</v>
      </c>
      <c r="G215" t="s">
        <v>39</v>
      </c>
      <c r="H215" s="2">
        <v>1088.99</v>
      </c>
      <c r="I215" s="2">
        <v>1545</v>
      </c>
      <c r="J215" t="s">
        <v>20</v>
      </c>
      <c r="K215">
        <v>0.04</v>
      </c>
      <c r="L215" t="s">
        <v>44</v>
      </c>
      <c r="M215" t="s">
        <v>32</v>
      </c>
      <c r="N215" t="s">
        <v>46</v>
      </c>
      <c r="O215" s="2">
        <f>_Salesdata[[#This Row],[Unit_Price]] * _Salesdata[[#This Row],[Quantity_Sold]]</f>
        <v>18540</v>
      </c>
      <c r="P215" s="2">
        <f>_Salesdata[[#This Row],[Unit_Cost]] * _Salesdata[[#This Row],[Quantity_Sold]]</f>
        <v>13067.880000000001</v>
      </c>
      <c r="Q215" s="2">
        <f>_Salesdata[[#This Row],[Gross_Sales]] - _Salesdata[[#This Row],[Total Cost]]</f>
        <v>5472.119999999999</v>
      </c>
      <c r="R215" s="2"/>
    </row>
    <row r="216" spans="1:18" x14ac:dyDescent="0.25">
      <c r="A216">
        <v>1038</v>
      </c>
      <c r="B216" s="1">
        <v>45092</v>
      </c>
      <c r="C216" t="s">
        <v>24</v>
      </c>
      <c r="D216" t="s">
        <v>25</v>
      </c>
      <c r="E216" s="2">
        <v>2758.77</v>
      </c>
      <c r="F216">
        <v>42</v>
      </c>
      <c r="G216" t="s">
        <v>31</v>
      </c>
      <c r="H216" s="2">
        <v>1089.0899999999999</v>
      </c>
      <c r="I216" s="2">
        <v>1355.44</v>
      </c>
      <c r="J216" t="s">
        <v>27</v>
      </c>
      <c r="K216">
        <v>0.06</v>
      </c>
      <c r="L216" t="s">
        <v>21</v>
      </c>
      <c r="M216" t="s">
        <v>32</v>
      </c>
      <c r="N216" t="s">
        <v>29</v>
      </c>
      <c r="O216" s="2">
        <f>_Salesdata[[#This Row],[Unit_Price]] * _Salesdata[[#This Row],[Quantity_Sold]]</f>
        <v>56928.480000000003</v>
      </c>
      <c r="P216" s="2">
        <f>_Salesdata[[#This Row],[Unit_Cost]] * _Salesdata[[#This Row],[Quantity_Sold]]</f>
        <v>45741.78</v>
      </c>
      <c r="Q216" s="2">
        <f>_Salesdata[[#This Row],[Gross_Sales]] - _Salesdata[[#This Row],[Total Cost]]</f>
        <v>11186.700000000004</v>
      </c>
      <c r="R216" s="2"/>
    </row>
    <row r="217" spans="1:18" x14ac:dyDescent="0.25">
      <c r="A217">
        <v>1100</v>
      </c>
      <c r="B217" s="1">
        <v>45152</v>
      </c>
      <c r="C217" t="s">
        <v>17</v>
      </c>
      <c r="D217" t="s">
        <v>25</v>
      </c>
      <c r="E217" s="2">
        <v>2198.7399999999998</v>
      </c>
      <c r="F217">
        <v>43</v>
      </c>
      <c r="G217" t="s">
        <v>31</v>
      </c>
      <c r="H217" s="2">
        <v>1100.81</v>
      </c>
      <c r="I217" s="2">
        <v>1137.44</v>
      </c>
      <c r="J217" t="s">
        <v>20</v>
      </c>
      <c r="K217">
        <v>0.08</v>
      </c>
      <c r="L217" t="s">
        <v>44</v>
      </c>
      <c r="M217" t="s">
        <v>22</v>
      </c>
      <c r="N217" t="s">
        <v>34</v>
      </c>
      <c r="O217" s="2">
        <f>_Salesdata[[#This Row],[Unit_Price]] * _Salesdata[[#This Row],[Quantity_Sold]]</f>
        <v>48909.920000000006</v>
      </c>
      <c r="P217" s="2">
        <f>_Salesdata[[#This Row],[Unit_Cost]] * _Salesdata[[#This Row],[Quantity_Sold]]</f>
        <v>47334.829999999994</v>
      </c>
      <c r="Q217" s="2">
        <f>_Salesdata[[#This Row],[Gross_Sales]] - _Salesdata[[#This Row],[Total Cost]]</f>
        <v>1575.0900000000111</v>
      </c>
      <c r="R217" s="2"/>
    </row>
    <row r="218" spans="1:18" x14ac:dyDescent="0.25">
      <c r="A218">
        <v>1082</v>
      </c>
      <c r="B218" s="1">
        <v>45136</v>
      </c>
      <c r="C218" t="s">
        <v>48</v>
      </c>
      <c r="D218" t="s">
        <v>18</v>
      </c>
      <c r="E218" s="2">
        <v>5677.61</v>
      </c>
      <c r="F218">
        <v>46</v>
      </c>
      <c r="G218" t="s">
        <v>31</v>
      </c>
      <c r="H218" s="2">
        <v>1102.69</v>
      </c>
      <c r="I218" s="2">
        <v>1437.12</v>
      </c>
      <c r="J218" t="s">
        <v>27</v>
      </c>
      <c r="K218">
        <v>0.11</v>
      </c>
      <c r="L218" t="s">
        <v>28</v>
      </c>
      <c r="M218" t="s">
        <v>22</v>
      </c>
      <c r="N218" t="s">
        <v>54</v>
      </c>
      <c r="O218" s="2">
        <f>_Salesdata[[#This Row],[Unit_Price]] * _Salesdata[[#This Row],[Quantity_Sold]]</f>
        <v>66107.51999999999</v>
      </c>
      <c r="P218" s="2">
        <f>_Salesdata[[#This Row],[Unit_Cost]] * _Salesdata[[#This Row],[Quantity_Sold]]</f>
        <v>50723.740000000005</v>
      </c>
      <c r="Q218" s="2">
        <f>_Salesdata[[#This Row],[Gross_Sales]] - _Salesdata[[#This Row],[Total Cost]]</f>
        <v>15383.779999999984</v>
      </c>
      <c r="R218" s="2"/>
    </row>
    <row r="219" spans="1:18" x14ac:dyDescent="0.25">
      <c r="A219">
        <v>1035</v>
      </c>
      <c r="B219" s="1">
        <v>45034</v>
      </c>
      <c r="C219" t="s">
        <v>30</v>
      </c>
      <c r="D219" t="s">
        <v>40</v>
      </c>
      <c r="E219" s="2">
        <v>9417.1</v>
      </c>
      <c r="F219">
        <v>34</v>
      </c>
      <c r="G219" t="s">
        <v>31</v>
      </c>
      <c r="H219" s="2">
        <v>1105.05</v>
      </c>
      <c r="I219" s="2">
        <v>1200.96</v>
      </c>
      <c r="J219" t="s">
        <v>20</v>
      </c>
      <c r="K219">
        <v>0.19</v>
      </c>
      <c r="L219" t="s">
        <v>21</v>
      </c>
      <c r="M219" t="s">
        <v>22</v>
      </c>
      <c r="N219" t="s">
        <v>41</v>
      </c>
      <c r="O219" s="2">
        <f>_Salesdata[[#This Row],[Unit_Price]] * _Salesdata[[#This Row],[Quantity_Sold]]</f>
        <v>40832.639999999999</v>
      </c>
      <c r="P219" s="2">
        <f>_Salesdata[[#This Row],[Unit_Cost]] * _Salesdata[[#This Row],[Quantity_Sold]]</f>
        <v>37571.699999999997</v>
      </c>
      <c r="Q219" s="2">
        <f>_Salesdata[[#This Row],[Gross_Sales]] - _Salesdata[[#This Row],[Total Cost]]</f>
        <v>3260.9400000000023</v>
      </c>
      <c r="R219" s="2"/>
    </row>
    <row r="220" spans="1:18" x14ac:dyDescent="0.25">
      <c r="A220">
        <v>1025</v>
      </c>
      <c r="B220" s="1">
        <v>45135</v>
      </c>
      <c r="C220" t="s">
        <v>30</v>
      </c>
      <c r="D220" t="s">
        <v>25</v>
      </c>
      <c r="E220" s="2">
        <v>4376.99</v>
      </c>
      <c r="F220">
        <v>37</v>
      </c>
      <c r="G220" t="s">
        <v>26</v>
      </c>
      <c r="H220" s="2">
        <v>1115.02</v>
      </c>
      <c r="I220" s="2">
        <v>1174.48</v>
      </c>
      <c r="J220" t="s">
        <v>27</v>
      </c>
      <c r="K220">
        <v>0.22</v>
      </c>
      <c r="L220" t="s">
        <v>28</v>
      </c>
      <c r="M220" t="s">
        <v>22</v>
      </c>
      <c r="N220" t="s">
        <v>45</v>
      </c>
      <c r="O220" s="2">
        <f>_Salesdata[[#This Row],[Unit_Price]] * _Salesdata[[#This Row],[Quantity_Sold]]</f>
        <v>43455.76</v>
      </c>
      <c r="P220" s="2">
        <f>_Salesdata[[#This Row],[Unit_Cost]] * _Salesdata[[#This Row],[Quantity_Sold]]</f>
        <v>41255.74</v>
      </c>
      <c r="Q220" s="2">
        <f>_Salesdata[[#This Row],[Gross_Sales]] - _Salesdata[[#This Row],[Total Cost]]</f>
        <v>2200.0200000000041</v>
      </c>
      <c r="R220" s="2"/>
    </row>
    <row r="221" spans="1:18" x14ac:dyDescent="0.25">
      <c r="A221">
        <v>1007</v>
      </c>
      <c r="B221" s="1">
        <v>45015</v>
      </c>
      <c r="C221" t="s">
        <v>30</v>
      </c>
      <c r="D221" t="s">
        <v>18</v>
      </c>
      <c r="E221" s="2">
        <v>8088.96</v>
      </c>
      <c r="F221">
        <v>14</v>
      </c>
      <c r="G221" t="s">
        <v>39</v>
      </c>
      <c r="H221" s="2">
        <v>1122.07</v>
      </c>
      <c r="I221" s="2">
        <v>1608.76</v>
      </c>
      <c r="J221" t="s">
        <v>27</v>
      </c>
      <c r="K221">
        <v>0.22</v>
      </c>
      <c r="L221" t="s">
        <v>21</v>
      </c>
      <c r="M221" t="s">
        <v>32</v>
      </c>
      <c r="N221" t="s">
        <v>33</v>
      </c>
      <c r="O221" s="2">
        <f>_Salesdata[[#This Row],[Unit_Price]] * _Salesdata[[#This Row],[Quantity_Sold]]</f>
        <v>22522.639999999999</v>
      </c>
      <c r="P221" s="2">
        <f>_Salesdata[[#This Row],[Unit_Cost]] * _Salesdata[[#This Row],[Quantity_Sold]]</f>
        <v>15708.98</v>
      </c>
      <c r="Q221" s="2">
        <f>_Salesdata[[#This Row],[Gross_Sales]] - _Salesdata[[#This Row],[Total Cost]]</f>
        <v>6813.66</v>
      </c>
      <c r="R221" s="2"/>
    </row>
    <row r="222" spans="1:18" x14ac:dyDescent="0.25">
      <c r="A222">
        <v>1079</v>
      </c>
      <c r="B222" s="1">
        <v>45227</v>
      </c>
      <c r="C222" t="s">
        <v>17</v>
      </c>
      <c r="D222" t="s">
        <v>25</v>
      </c>
      <c r="E222" s="2">
        <v>1558.03</v>
      </c>
      <c r="F222">
        <v>38</v>
      </c>
      <c r="G222" t="s">
        <v>39</v>
      </c>
      <c r="H222" s="2">
        <v>1127.76</v>
      </c>
      <c r="I222" s="2">
        <v>1265.6600000000001</v>
      </c>
      <c r="J222" t="s">
        <v>20</v>
      </c>
      <c r="K222">
        <v>0.26</v>
      </c>
      <c r="L222" t="s">
        <v>44</v>
      </c>
      <c r="M222" t="s">
        <v>32</v>
      </c>
      <c r="N222" t="s">
        <v>34</v>
      </c>
      <c r="O222" s="2">
        <f>_Salesdata[[#This Row],[Unit_Price]] * _Salesdata[[#This Row],[Quantity_Sold]]</f>
        <v>48095.08</v>
      </c>
      <c r="P222" s="2">
        <f>_Salesdata[[#This Row],[Unit_Cost]] * _Salesdata[[#This Row],[Quantity_Sold]]</f>
        <v>42854.879999999997</v>
      </c>
      <c r="Q222" s="2">
        <f>_Salesdata[[#This Row],[Gross_Sales]] - _Salesdata[[#This Row],[Total Cost]]</f>
        <v>5240.2000000000044</v>
      </c>
      <c r="R222" s="2"/>
    </row>
    <row r="223" spans="1:18" x14ac:dyDescent="0.25">
      <c r="A223">
        <v>1052</v>
      </c>
      <c r="B223" s="1">
        <v>45282</v>
      </c>
      <c r="C223" t="s">
        <v>35</v>
      </c>
      <c r="D223" t="s">
        <v>25</v>
      </c>
      <c r="E223" s="2">
        <v>2858.57</v>
      </c>
      <c r="F223">
        <v>18</v>
      </c>
      <c r="G223" t="s">
        <v>31</v>
      </c>
      <c r="H223" s="2">
        <v>1127.8599999999999</v>
      </c>
      <c r="I223" s="2">
        <v>1586.29</v>
      </c>
      <c r="J223" t="s">
        <v>27</v>
      </c>
      <c r="K223">
        <v>0.04</v>
      </c>
      <c r="L223" t="s">
        <v>28</v>
      </c>
      <c r="M223" t="s">
        <v>22</v>
      </c>
      <c r="N223" t="s">
        <v>56</v>
      </c>
      <c r="O223" s="2">
        <f>_Salesdata[[#This Row],[Unit_Price]] * _Salesdata[[#This Row],[Quantity_Sold]]</f>
        <v>28553.22</v>
      </c>
      <c r="P223" s="2">
        <f>_Salesdata[[#This Row],[Unit_Cost]] * _Salesdata[[#This Row],[Quantity_Sold]]</f>
        <v>20301.48</v>
      </c>
      <c r="Q223" s="2">
        <f>_Salesdata[[#This Row],[Gross_Sales]] - _Salesdata[[#This Row],[Total Cost]]</f>
        <v>8251.7400000000016</v>
      </c>
      <c r="R223" s="2"/>
    </row>
    <row r="224" spans="1:18" x14ac:dyDescent="0.25">
      <c r="A224">
        <v>1090</v>
      </c>
      <c r="B224" s="1">
        <v>45037</v>
      </c>
      <c r="C224" t="s">
        <v>30</v>
      </c>
      <c r="D224" t="s">
        <v>25</v>
      </c>
      <c r="E224" s="2">
        <v>4883.49</v>
      </c>
      <c r="F224">
        <v>35</v>
      </c>
      <c r="G224" t="s">
        <v>26</v>
      </c>
      <c r="H224" s="2">
        <v>1130.5999999999999</v>
      </c>
      <c r="I224" s="2">
        <v>1466.1799999999901</v>
      </c>
      <c r="J224" t="s">
        <v>20</v>
      </c>
      <c r="K224">
        <v>0.13</v>
      </c>
      <c r="L224" t="s">
        <v>21</v>
      </c>
      <c r="M224" t="s">
        <v>22</v>
      </c>
      <c r="N224" t="s">
        <v>45</v>
      </c>
      <c r="O224" s="2">
        <f>_Salesdata[[#This Row],[Unit_Price]] * _Salesdata[[#This Row],[Quantity_Sold]]</f>
        <v>51316.299999999654</v>
      </c>
      <c r="P224" s="2">
        <f>_Salesdata[[#This Row],[Unit_Cost]] * _Salesdata[[#This Row],[Quantity_Sold]]</f>
        <v>39571</v>
      </c>
      <c r="Q224" s="2">
        <f>_Salesdata[[#This Row],[Gross_Sales]] - _Salesdata[[#This Row],[Total Cost]]</f>
        <v>11745.299999999654</v>
      </c>
      <c r="R224" s="2"/>
    </row>
    <row r="225" spans="1:18" x14ac:dyDescent="0.25">
      <c r="A225">
        <v>1063</v>
      </c>
      <c r="B225" s="1">
        <v>45215</v>
      </c>
      <c r="C225" t="s">
        <v>35</v>
      </c>
      <c r="D225" t="s">
        <v>37</v>
      </c>
      <c r="E225" s="2">
        <v>9775.35</v>
      </c>
      <c r="F225">
        <v>4</v>
      </c>
      <c r="G225" t="s">
        <v>19</v>
      </c>
      <c r="H225" s="2">
        <v>1134.67</v>
      </c>
      <c r="I225" s="2">
        <v>1201.3900000000001</v>
      </c>
      <c r="J225" t="s">
        <v>27</v>
      </c>
      <c r="K225">
        <v>0.3</v>
      </c>
      <c r="L225" t="s">
        <v>44</v>
      </c>
      <c r="M225" t="s">
        <v>32</v>
      </c>
      <c r="N225" t="s">
        <v>38</v>
      </c>
      <c r="O225" s="2">
        <f>_Salesdata[[#This Row],[Unit_Price]] * _Salesdata[[#This Row],[Quantity_Sold]]</f>
        <v>4805.5600000000004</v>
      </c>
      <c r="P225" s="2">
        <f>_Salesdata[[#This Row],[Unit_Cost]] * _Salesdata[[#This Row],[Quantity_Sold]]</f>
        <v>4538.68</v>
      </c>
      <c r="Q225" s="2">
        <f>_Salesdata[[#This Row],[Gross_Sales]] - _Salesdata[[#This Row],[Total Cost]]</f>
        <v>266.88000000000011</v>
      </c>
      <c r="R225" s="2"/>
    </row>
    <row r="226" spans="1:18" x14ac:dyDescent="0.25">
      <c r="A226">
        <v>1074</v>
      </c>
      <c r="B226" s="1">
        <v>44972</v>
      </c>
      <c r="C226" t="s">
        <v>24</v>
      </c>
      <c r="D226" t="s">
        <v>40</v>
      </c>
      <c r="E226" s="2">
        <v>3320.38</v>
      </c>
      <c r="F226">
        <v>31</v>
      </c>
      <c r="G226" t="s">
        <v>39</v>
      </c>
      <c r="H226" s="2">
        <v>1138.32</v>
      </c>
      <c r="I226" s="2">
        <v>1266.25</v>
      </c>
      <c r="J226" t="s">
        <v>20</v>
      </c>
      <c r="K226">
        <v>0.14000000000000001</v>
      </c>
      <c r="L226" t="s">
        <v>21</v>
      </c>
      <c r="M226" t="s">
        <v>32</v>
      </c>
      <c r="N226" t="s">
        <v>55</v>
      </c>
      <c r="O226" s="2">
        <f>_Salesdata[[#This Row],[Unit_Price]] * _Salesdata[[#This Row],[Quantity_Sold]]</f>
        <v>39253.75</v>
      </c>
      <c r="P226" s="2">
        <f>_Salesdata[[#This Row],[Unit_Cost]] * _Salesdata[[#This Row],[Quantity_Sold]]</f>
        <v>35287.919999999998</v>
      </c>
      <c r="Q226" s="2">
        <f>_Salesdata[[#This Row],[Gross_Sales]] - _Salesdata[[#This Row],[Total Cost]]</f>
        <v>3965.8300000000017</v>
      </c>
      <c r="R226" s="2"/>
    </row>
    <row r="227" spans="1:18" x14ac:dyDescent="0.25">
      <c r="A227">
        <v>1042</v>
      </c>
      <c r="B227" s="1">
        <v>45167</v>
      </c>
      <c r="C227" t="s">
        <v>48</v>
      </c>
      <c r="D227" t="s">
        <v>40</v>
      </c>
      <c r="E227" s="2">
        <v>3955.11</v>
      </c>
      <c r="F227">
        <v>27</v>
      </c>
      <c r="G227" t="s">
        <v>19</v>
      </c>
      <c r="H227" s="2">
        <v>1139.45</v>
      </c>
      <c r="I227" s="2">
        <v>1454.41</v>
      </c>
      <c r="J227" t="s">
        <v>20</v>
      </c>
      <c r="K227">
        <v>0.3</v>
      </c>
      <c r="L227" t="s">
        <v>44</v>
      </c>
      <c r="M227" t="s">
        <v>22</v>
      </c>
      <c r="N227" t="s">
        <v>50</v>
      </c>
      <c r="O227" s="2">
        <f>_Salesdata[[#This Row],[Unit_Price]] * _Salesdata[[#This Row],[Quantity_Sold]]</f>
        <v>39269.07</v>
      </c>
      <c r="P227" s="2">
        <f>_Salesdata[[#This Row],[Unit_Cost]] * _Salesdata[[#This Row],[Quantity_Sold]]</f>
        <v>30765.15</v>
      </c>
      <c r="Q227" s="2">
        <f>_Salesdata[[#This Row],[Gross_Sales]] - _Salesdata[[#This Row],[Total Cost]]</f>
        <v>8503.9199999999983</v>
      </c>
      <c r="R227" s="2"/>
    </row>
    <row r="228" spans="1:18" x14ac:dyDescent="0.25">
      <c r="A228">
        <v>1068</v>
      </c>
      <c r="B228" s="1">
        <v>45173</v>
      </c>
      <c r="C228" t="s">
        <v>48</v>
      </c>
      <c r="D228" t="s">
        <v>18</v>
      </c>
      <c r="E228" s="2">
        <v>3905.11</v>
      </c>
      <c r="F228">
        <v>14</v>
      </c>
      <c r="G228" t="s">
        <v>31</v>
      </c>
      <c r="H228" s="2">
        <v>1140.58</v>
      </c>
      <c r="I228" s="2">
        <v>1438.76</v>
      </c>
      <c r="J228" t="s">
        <v>20</v>
      </c>
      <c r="K228">
        <v>0.03</v>
      </c>
      <c r="L228" t="s">
        <v>44</v>
      </c>
      <c r="M228" t="s">
        <v>22</v>
      </c>
      <c r="N228" t="s">
        <v>54</v>
      </c>
      <c r="O228" s="2">
        <f>_Salesdata[[#This Row],[Unit_Price]] * _Salesdata[[#This Row],[Quantity_Sold]]</f>
        <v>20142.64</v>
      </c>
      <c r="P228" s="2">
        <f>_Salesdata[[#This Row],[Unit_Cost]] * _Salesdata[[#This Row],[Quantity_Sold]]</f>
        <v>15968.119999999999</v>
      </c>
      <c r="Q228" s="2">
        <f>_Salesdata[[#This Row],[Gross_Sales]] - _Salesdata[[#This Row],[Total Cost]]</f>
        <v>4174.5200000000004</v>
      </c>
      <c r="R228" s="2"/>
    </row>
    <row r="229" spans="1:18" x14ac:dyDescent="0.25">
      <c r="A229">
        <v>1018</v>
      </c>
      <c r="B229" s="1">
        <v>44949</v>
      </c>
      <c r="C229" t="s">
        <v>30</v>
      </c>
      <c r="D229" t="s">
        <v>37</v>
      </c>
      <c r="E229" s="2">
        <v>7019.59</v>
      </c>
      <c r="F229">
        <v>20</v>
      </c>
      <c r="G229" t="s">
        <v>39</v>
      </c>
      <c r="H229" s="2">
        <v>1140.6199999999999</v>
      </c>
      <c r="I229" s="2">
        <v>1258.6299999999901</v>
      </c>
      <c r="J229" t="s">
        <v>20</v>
      </c>
      <c r="K229">
        <v>0.26</v>
      </c>
      <c r="L229" t="s">
        <v>44</v>
      </c>
      <c r="M229" t="s">
        <v>22</v>
      </c>
      <c r="N229" t="s">
        <v>51</v>
      </c>
      <c r="O229" s="2">
        <f>_Salesdata[[#This Row],[Unit_Price]] * _Salesdata[[#This Row],[Quantity_Sold]]</f>
        <v>25172.599999999802</v>
      </c>
      <c r="P229" s="2">
        <f>_Salesdata[[#This Row],[Unit_Cost]] * _Salesdata[[#This Row],[Quantity_Sold]]</f>
        <v>22812.399999999998</v>
      </c>
      <c r="Q229" s="2">
        <f>_Salesdata[[#This Row],[Gross_Sales]] - _Salesdata[[#This Row],[Total Cost]]</f>
        <v>2360.1999999998043</v>
      </c>
      <c r="R229" s="2"/>
    </row>
    <row r="230" spans="1:18" x14ac:dyDescent="0.25">
      <c r="A230">
        <v>1080</v>
      </c>
      <c r="B230" s="1">
        <v>44962</v>
      </c>
      <c r="C230" t="s">
        <v>35</v>
      </c>
      <c r="D230" t="s">
        <v>40</v>
      </c>
      <c r="E230" s="2">
        <v>245.46</v>
      </c>
      <c r="F230">
        <v>9</v>
      </c>
      <c r="G230" t="s">
        <v>26</v>
      </c>
      <c r="H230" s="2">
        <v>1141.52</v>
      </c>
      <c r="I230" s="2">
        <v>1550.19</v>
      </c>
      <c r="J230" t="s">
        <v>27</v>
      </c>
      <c r="K230">
        <v>0.28000000000000003</v>
      </c>
      <c r="L230" t="s">
        <v>28</v>
      </c>
      <c r="M230" t="s">
        <v>32</v>
      </c>
      <c r="N230" t="s">
        <v>43</v>
      </c>
      <c r="O230" s="2">
        <f>_Salesdata[[#This Row],[Unit_Price]] * _Salesdata[[#This Row],[Quantity_Sold]]</f>
        <v>13951.710000000001</v>
      </c>
      <c r="P230" s="2">
        <f>_Salesdata[[#This Row],[Unit_Cost]] * _Salesdata[[#This Row],[Quantity_Sold]]</f>
        <v>10273.68</v>
      </c>
      <c r="Q230" s="2">
        <f>_Salesdata[[#This Row],[Gross_Sales]] - _Salesdata[[#This Row],[Total Cost]]</f>
        <v>3678.0300000000007</v>
      </c>
      <c r="R230" s="2"/>
    </row>
    <row r="231" spans="1:18" x14ac:dyDescent="0.25">
      <c r="A231">
        <v>1068</v>
      </c>
      <c r="B231" s="1">
        <v>45153</v>
      </c>
      <c r="C231" t="s">
        <v>24</v>
      </c>
      <c r="D231" t="s">
        <v>40</v>
      </c>
      <c r="E231" s="2">
        <v>7262.13</v>
      </c>
      <c r="F231">
        <v>21</v>
      </c>
      <c r="G231" t="s">
        <v>31</v>
      </c>
      <c r="H231" s="2">
        <v>1142.53</v>
      </c>
      <c r="I231" s="2">
        <v>1384.3</v>
      </c>
      <c r="J231" t="s">
        <v>20</v>
      </c>
      <c r="K231">
        <v>0.02</v>
      </c>
      <c r="L231" t="s">
        <v>28</v>
      </c>
      <c r="M231" t="s">
        <v>32</v>
      </c>
      <c r="N231" t="s">
        <v>55</v>
      </c>
      <c r="O231" s="2">
        <f>_Salesdata[[#This Row],[Unit_Price]] * _Salesdata[[#This Row],[Quantity_Sold]]</f>
        <v>29070.3</v>
      </c>
      <c r="P231" s="2">
        <f>_Salesdata[[#This Row],[Unit_Cost]] * _Salesdata[[#This Row],[Quantity_Sold]]</f>
        <v>23993.13</v>
      </c>
      <c r="Q231" s="2">
        <f>_Salesdata[[#This Row],[Gross_Sales]] - _Salesdata[[#This Row],[Total Cost]]</f>
        <v>5077.1699999999983</v>
      </c>
      <c r="R231" s="2"/>
    </row>
    <row r="232" spans="1:18" x14ac:dyDescent="0.25">
      <c r="A232">
        <v>1010</v>
      </c>
      <c r="B232" s="1">
        <v>45014</v>
      </c>
      <c r="C232" t="s">
        <v>24</v>
      </c>
      <c r="D232" t="s">
        <v>40</v>
      </c>
      <c r="E232" s="2">
        <v>3329.91</v>
      </c>
      <c r="F232">
        <v>49</v>
      </c>
      <c r="G232" t="s">
        <v>31</v>
      </c>
      <c r="H232" s="2">
        <v>1150.3</v>
      </c>
      <c r="I232" s="2">
        <v>1306.02</v>
      </c>
      <c r="J232" t="s">
        <v>27</v>
      </c>
      <c r="K232">
        <v>0.06</v>
      </c>
      <c r="L232" t="s">
        <v>28</v>
      </c>
      <c r="M232" t="s">
        <v>32</v>
      </c>
      <c r="N232" t="s">
        <v>55</v>
      </c>
      <c r="O232" s="2">
        <f>_Salesdata[[#This Row],[Unit_Price]] * _Salesdata[[#This Row],[Quantity_Sold]]</f>
        <v>63994.979999999996</v>
      </c>
      <c r="P232" s="2">
        <f>_Salesdata[[#This Row],[Unit_Cost]] * _Salesdata[[#This Row],[Quantity_Sold]]</f>
        <v>56364.7</v>
      </c>
      <c r="Q232" s="2">
        <f>_Salesdata[[#This Row],[Gross_Sales]] - _Salesdata[[#This Row],[Total Cost]]</f>
        <v>7630.2799999999988</v>
      </c>
      <c r="R232" s="2"/>
    </row>
    <row r="233" spans="1:18" x14ac:dyDescent="0.25">
      <c r="A233">
        <v>1027</v>
      </c>
      <c r="B233" s="1">
        <v>44963</v>
      </c>
      <c r="C233" t="s">
        <v>48</v>
      </c>
      <c r="D233" t="s">
        <v>25</v>
      </c>
      <c r="E233" s="2">
        <v>3668.23</v>
      </c>
      <c r="F233">
        <v>45</v>
      </c>
      <c r="G233" t="s">
        <v>31</v>
      </c>
      <c r="H233" s="2">
        <v>1153.9000000000001</v>
      </c>
      <c r="I233" s="2">
        <v>1485.34</v>
      </c>
      <c r="J233" t="s">
        <v>27</v>
      </c>
      <c r="K233">
        <v>0.25</v>
      </c>
      <c r="L233" t="s">
        <v>28</v>
      </c>
      <c r="M233" t="s">
        <v>32</v>
      </c>
      <c r="N233" t="s">
        <v>49</v>
      </c>
      <c r="O233" s="2">
        <f>_Salesdata[[#This Row],[Unit_Price]] * _Salesdata[[#This Row],[Quantity_Sold]]</f>
        <v>66840.3</v>
      </c>
      <c r="P233" s="2">
        <f>_Salesdata[[#This Row],[Unit_Cost]] * _Salesdata[[#This Row],[Quantity_Sold]]</f>
        <v>51925.500000000007</v>
      </c>
      <c r="Q233" s="2">
        <f>_Salesdata[[#This Row],[Gross_Sales]] - _Salesdata[[#This Row],[Total Cost]]</f>
        <v>14914.799999999996</v>
      </c>
      <c r="R233" s="2"/>
    </row>
    <row r="234" spans="1:18" x14ac:dyDescent="0.25">
      <c r="A234">
        <v>1056</v>
      </c>
      <c r="B234" s="1">
        <v>45285</v>
      </c>
      <c r="C234" t="s">
        <v>17</v>
      </c>
      <c r="D234" t="s">
        <v>37</v>
      </c>
      <c r="E234" s="2">
        <v>2809.04</v>
      </c>
      <c r="F234">
        <v>25</v>
      </c>
      <c r="G234" t="s">
        <v>19</v>
      </c>
      <c r="H234" s="2">
        <v>1154.28</v>
      </c>
      <c r="I234" s="2">
        <v>1408.4</v>
      </c>
      <c r="J234" t="s">
        <v>20</v>
      </c>
      <c r="K234">
        <v>0.28999999999999998</v>
      </c>
      <c r="L234" t="s">
        <v>44</v>
      </c>
      <c r="M234" t="s">
        <v>32</v>
      </c>
      <c r="N234" t="s">
        <v>47</v>
      </c>
      <c r="O234" s="2">
        <f>_Salesdata[[#This Row],[Unit_Price]] * _Salesdata[[#This Row],[Quantity_Sold]]</f>
        <v>35210</v>
      </c>
      <c r="P234" s="2">
        <f>_Salesdata[[#This Row],[Unit_Cost]] * _Salesdata[[#This Row],[Quantity_Sold]]</f>
        <v>28857</v>
      </c>
      <c r="Q234" s="2">
        <f>_Salesdata[[#This Row],[Gross_Sales]] - _Salesdata[[#This Row],[Total Cost]]</f>
        <v>6353</v>
      </c>
      <c r="R234" s="2"/>
    </row>
    <row r="235" spans="1:18" x14ac:dyDescent="0.25">
      <c r="A235">
        <v>1026</v>
      </c>
      <c r="B235" s="1">
        <v>45169</v>
      </c>
      <c r="C235" t="s">
        <v>24</v>
      </c>
      <c r="D235" t="s">
        <v>18</v>
      </c>
      <c r="E235" s="2">
        <v>3784.52</v>
      </c>
      <c r="F235">
        <v>25</v>
      </c>
      <c r="G235" t="s">
        <v>26</v>
      </c>
      <c r="H235" s="2">
        <v>1156.8800000000001</v>
      </c>
      <c r="I235" s="2">
        <v>1454.68</v>
      </c>
      <c r="J235" t="s">
        <v>20</v>
      </c>
      <c r="K235">
        <v>0.06</v>
      </c>
      <c r="L235" t="s">
        <v>28</v>
      </c>
      <c r="M235" t="s">
        <v>22</v>
      </c>
      <c r="N235" t="s">
        <v>46</v>
      </c>
      <c r="O235" s="2">
        <f>_Salesdata[[#This Row],[Unit_Price]] * _Salesdata[[#This Row],[Quantity_Sold]]</f>
        <v>36367</v>
      </c>
      <c r="P235" s="2">
        <f>_Salesdata[[#This Row],[Unit_Cost]] * _Salesdata[[#This Row],[Quantity_Sold]]</f>
        <v>28922.000000000004</v>
      </c>
      <c r="Q235" s="2">
        <f>_Salesdata[[#This Row],[Gross_Sales]] - _Salesdata[[#This Row],[Total Cost]]</f>
        <v>7444.9999999999964</v>
      </c>
      <c r="R235" s="2"/>
    </row>
    <row r="236" spans="1:18" x14ac:dyDescent="0.25">
      <c r="A236">
        <v>1083</v>
      </c>
      <c r="B236" s="1">
        <v>44951</v>
      </c>
      <c r="C236" t="s">
        <v>30</v>
      </c>
      <c r="D236" t="s">
        <v>18</v>
      </c>
      <c r="E236" s="2">
        <v>757.99</v>
      </c>
      <c r="F236">
        <v>34</v>
      </c>
      <c r="G236" t="s">
        <v>19</v>
      </c>
      <c r="H236" s="2">
        <v>1167.9100000000001</v>
      </c>
      <c r="I236" s="2">
        <v>1547.26</v>
      </c>
      <c r="J236" t="s">
        <v>27</v>
      </c>
      <c r="K236">
        <v>0.11</v>
      </c>
      <c r="L236" t="s">
        <v>44</v>
      </c>
      <c r="M236" t="s">
        <v>22</v>
      </c>
      <c r="N236" t="s">
        <v>33</v>
      </c>
      <c r="O236" s="2">
        <f>_Salesdata[[#This Row],[Unit_Price]] * _Salesdata[[#This Row],[Quantity_Sold]]</f>
        <v>52606.84</v>
      </c>
      <c r="P236" s="2">
        <f>_Salesdata[[#This Row],[Unit_Cost]] * _Salesdata[[#This Row],[Quantity_Sold]]</f>
        <v>39708.94</v>
      </c>
      <c r="Q236" s="2">
        <f>_Salesdata[[#This Row],[Gross_Sales]] - _Salesdata[[#This Row],[Total Cost]]</f>
        <v>12897.899999999994</v>
      </c>
      <c r="R236" s="2"/>
    </row>
    <row r="237" spans="1:18" x14ac:dyDescent="0.25">
      <c r="A237">
        <v>1063</v>
      </c>
      <c r="B237" s="1">
        <v>45013</v>
      </c>
      <c r="C237" t="s">
        <v>35</v>
      </c>
      <c r="D237" t="s">
        <v>40</v>
      </c>
      <c r="E237" s="2">
        <v>4947.28</v>
      </c>
      <c r="F237">
        <v>42</v>
      </c>
      <c r="G237" t="s">
        <v>31</v>
      </c>
      <c r="H237" s="2">
        <v>1170.07</v>
      </c>
      <c r="I237" s="2">
        <v>1669.94999999999</v>
      </c>
      <c r="J237" t="s">
        <v>20</v>
      </c>
      <c r="K237">
        <v>0.12</v>
      </c>
      <c r="L237" t="s">
        <v>44</v>
      </c>
      <c r="M237" t="s">
        <v>32</v>
      </c>
      <c r="N237" t="s">
        <v>43</v>
      </c>
      <c r="O237" s="2">
        <f>_Salesdata[[#This Row],[Unit_Price]] * _Salesdata[[#This Row],[Quantity_Sold]]</f>
        <v>70137.899999999587</v>
      </c>
      <c r="P237" s="2">
        <f>_Salesdata[[#This Row],[Unit_Cost]] * _Salesdata[[#This Row],[Quantity_Sold]]</f>
        <v>49142.939999999995</v>
      </c>
      <c r="Q237" s="2">
        <f>_Salesdata[[#This Row],[Gross_Sales]] - _Salesdata[[#This Row],[Total Cost]]</f>
        <v>20994.959999999592</v>
      </c>
      <c r="R237" s="2"/>
    </row>
    <row r="238" spans="1:18" x14ac:dyDescent="0.25">
      <c r="A238">
        <v>1012</v>
      </c>
      <c r="B238" s="1">
        <v>45244</v>
      </c>
      <c r="C238" t="s">
        <v>30</v>
      </c>
      <c r="D238" t="s">
        <v>37</v>
      </c>
      <c r="E238" s="2">
        <v>4976.43</v>
      </c>
      <c r="F238">
        <v>14</v>
      </c>
      <c r="G238" t="s">
        <v>26</v>
      </c>
      <c r="H238" s="2">
        <v>1185.5</v>
      </c>
      <c r="I238" s="2">
        <v>1271.45</v>
      </c>
      <c r="J238" t="s">
        <v>20</v>
      </c>
      <c r="K238">
        <v>0.03</v>
      </c>
      <c r="L238" t="s">
        <v>44</v>
      </c>
      <c r="M238" t="s">
        <v>32</v>
      </c>
      <c r="N238" t="s">
        <v>51</v>
      </c>
      <c r="O238" s="2">
        <f>_Salesdata[[#This Row],[Unit_Price]] * _Salesdata[[#This Row],[Quantity_Sold]]</f>
        <v>17800.3</v>
      </c>
      <c r="P238" s="2">
        <f>_Salesdata[[#This Row],[Unit_Cost]] * _Salesdata[[#This Row],[Quantity_Sold]]</f>
        <v>16597</v>
      </c>
      <c r="Q238" s="2">
        <f>_Salesdata[[#This Row],[Gross_Sales]] - _Salesdata[[#This Row],[Total Cost]]</f>
        <v>1203.2999999999993</v>
      </c>
      <c r="R238" s="2"/>
    </row>
    <row r="239" spans="1:18" x14ac:dyDescent="0.25">
      <c r="A239">
        <v>1062</v>
      </c>
      <c r="B239" s="1">
        <v>45270</v>
      </c>
      <c r="C239" t="s">
        <v>30</v>
      </c>
      <c r="D239" t="s">
        <v>25</v>
      </c>
      <c r="E239" s="2">
        <v>3979.41</v>
      </c>
      <c r="F239">
        <v>11</v>
      </c>
      <c r="G239" t="s">
        <v>26</v>
      </c>
      <c r="H239" s="2">
        <v>1190.08</v>
      </c>
      <c r="I239" s="2">
        <v>1292.9399999999901</v>
      </c>
      <c r="J239" t="s">
        <v>20</v>
      </c>
      <c r="K239">
        <v>0.13</v>
      </c>
      <c r="L239" t="s">
        <v>21</v>
      </c>
      <c r="M239" t="s">
        <v>32</v>
      </c>
      <c r="N239" t="s">
        <v>45</v>
      </c>
      <c r="O239" s="2">
        <f>_Salesdata[[#This Row],[Unit_Price]] * _Salesdata[[#This Row],[Quantity_Sold]]</f>
        <v>14222.339999999891</v>
      </c>
      <c r="P239" s="2">
        <f>_Salesdata[[#This Row],[Unit_Cost]] * _Salesdata[[#This Row],[Quantity_Sold]]</f>
        <v>13090.88</v>
      </c>
      <c r="Q239" s="2">
        <f>_Salesdata[[#This Row],[Gross_Sales]] - _Salesdata[[#This Row],[Total Cost]]</f>
        <v>1131.4599999998918</v>
      </c>
      <c r="R239" s="2"/>
    </row>
    <row r="240" spans="1:18" x14ac:dyDescent="0.25">
      <c r="A240">
        <v>1060</v>
      </c>
      <c r="B240" s="1">
        <v>44943</v>
      </c>
      <c r="C240" t="s">
        <v>17</v>
      </c>
      <c r="D240" t="s">
        <v>40</v>
      </c>
      <c r="E240" s="2">
        <v>2747.28</v>
      </c>
      <c r="F240">
        <v>3</v>
      </c>
      <c r="G240" t="s">
        <v>26</v>
      </c>
      <c r="H240" s="2">
        <v>1190.4100000000001</v>
      </c>
      <c r="I240" s="2">
        <v>1582.89</v>
      </c>
      <c r="J240" t="s">
        <v>27</v>
      </c>
      <c r="K240">
        <v>0.02</v>
      </c>
      <c r="L240" t="s">
        <v>28</v>
      </c>
      <c r="M240" t="s">
        <v>32</v>
      </c>
      <c r="N240" t="s">
        <v>42</v>
      </c>
      <c r="O240" s="2">
        <f>_Salesdata[[#This Row],[Unit_Price]] * _Salesdata[[#This Row],[Quantity_Sold]]</f>
        <v>4748.67</v>
      </c>
      <c r="P240" s="2">
        <f>_Salesdata[[#This Row],[Unit_Cost]] * _Salesdata[[#This Row],[Quantity_Sold]]</f>
        <v>3571.2300000000005</v>
      </c>
      <c r="Q240" s="2">
        <f>_Salesdata[[#This Row],[Gross_Sales]] - _Salesdata[[#This Row],[Total Cost]]</f>
        <v>1177.4399999999996</v>
      </c>
      <c r="R240" s="2"/>
    </row>
    <row r="241" spans="1:18" x14ac:dyDescent="0.25">
      <c r="A241">
        <v>1033</v>
      </c>
      <c r="B241" s="1">
        <v>45039</v>
      </c>
      <c r="C241" t="s">
        <v>35</v>
      </c>
      <c r="D241" t="s">
        <v>18</v>
      </c>
      <c r="E241" s="2">
        <v>7171.83</v>
      </c>
      <c r="F241">
        <v>44</v>
      </c>
      <c r="G241" t="s">
        <v>26</v>
      </c>
      <c r="H241" s="2">
        <v>1195.22</v>
      </c>
      <c r="I241" s="2">
        <v>1320.06</v>
      </c>
      <c r="J241" t="s">
        <v>20</v>
      </c>
      <c r="K241">
        <v>0.23</v>
      </c>
      <c r="L241" t="s">
        <v>44</v>
      </c>
      <c r="M241" t="s">
        <v>32</v>
      </c>
      <c r="N241" t="s">
        <v>36</v>
      </c>
      <c r="O241" s="2">
        <f>_Salesdata[[#This Row],[Unit_Price]] * _Salesdata[[#This Row],[Quantity_Sold]]</f>
        <v>58082.64</v>
      </c>
      <c r="P241" s="2">
        <f>_Salesdata[[#This Row],[Unit_Cost]] * _Salesdata[[#This Row],[Quantity_Sold]]</f>
        <v>52589.68</v>
      </c>
      <c r="Q241" s="2">
        <f>_Salesdata[[#This Row],[Gross_Sales]] - _Salesdata[[#This Row],[Total Cost]]</f>
        <v>5492.9599999999991</v>
      </c>
      <c r="R241" s="2"/>
    </row>
    <row r="242" spans="1:18" x14ac:dyDescent="0.25">
      <c r="A242">
        <v>1082</v>
      </c>
      <c r="B242" s="1">
        <v>45260</v>
      </c>
      <c r="C242" t="s">
        <v>24</v>
      </c>
      <c r="D242" t="s">
        <v>40</v>
      </c>
      <c r="E242" s="2">
        <v>6261.9</v>
      </c>
      <c r="F242">
        <v>41</v>
      </c>
      <c r="G242" t="s">
        <v>26</v>
      </c>
      <c r="H242" s="2">
        <v>1196.42</v>
      </c>
      <c r="I242" s="2">
        <v>1444.97</v>
      </c>
      <c r="J242" t="s">
        <v>20</v>
      </c>
      <c r="K242">
        <v>0.21</v>
      </c>
      <c r="L242" t="s">
        <v>44</v>
      </c>
      <c r="M242" t="s">
        <v>22</v>
      </c>
      <c r="N242" t="s">
        <v>55</v>
      </c>
      <c r="O242" s="2">
        <f>_Salesdata[[#This Row],[Unit_Price]] * _Salesdata[[#This Row],[Quantity_Sold]]</f>
        <v>59243.770000000004</v>
      </c>
      <c r="P242" s="2">
        <f>_Salesdata[[#This Row],[Unit_Cost]] * _Salesdata[[#This Row],[Quantity_Sold]]</f>
        <v>49053.22</v>
      </c>
      <c r="Q242" s="2">
        <f>_Salesdata[[#This Row],[Gross_Sales]] - _Salesdata[[#This Row],[Total Cost]]</f>
        <v>10190.550000000003</v>
      </c>
      <c r="R242" s="2"/>
    </row>
    <row r="243" spans="1:18" x14ac:dyDescent="0.25">
      <c r="A243">
        <v>1005</v>
      </c>
      <c r="B243" s="1">
        <v>45258</v>
      </c>
      <c r="C243" t="s">
        <v>30</v>
      </c>
      <c r="D243" t="s">
        <v>25</v>
      </c>
      <c r="E243" s="2">
        <v>152.6</v>
      </c>
      <c r="F243">
        <v>43</v>
      </c>
      <c r="G243" t="s">
        <v>39</v>
      </c>
      <c r="H243" s="2">
        <v>1200.4000000000001</v>
      </c>
      <c r="I243" s="2">
        <v>1430.45</v>
      </c>
      <c r="J243" t="s">
        <v>27</v>
      </c>
      <c r="K243">
        <v>0.08</v>
      </c>
      <c r="L243" t="s">
        <v>44</v>
      </c>
      <c r="M243" t="s">
        <v>32</v>
      </c>
      <c r="N243" t="s">
        <v>45</v>
      </c>
      <c r="O243" s="2">
        <f>_Salesdata[[#This Row],[Unit_Price]] * _Salesdata[[#This Row],[Quantity_Sold]]</f>
        <v>61509.35</v>
      </c>
      <c r="P243" s="2">
        <f>_Salesdata[[#This Row],[Unit_Cost]] * _Salesdata[[#This Row],[Quantity_Sold]]</f>
        <v>51617.200000000004</v>
      </c>
      <c r="Q243" s="2">
        <f>_Salesdata[[#This Row],[Gross_Sales]] - _Salesdata[[#This Row],[Total Cost]]</f>
        <v>9892.1499999999942</v>
      </c>
      <c r="R243" s="2"/>
    </row>
    <row r="244" spans="1:18" x14ac:dyDescent="0.25">
      <c r="A244">
        <v>1046</v>
      </c>
      <c r="B244" s="1">
        <v>44966</v>
      </c>
      <c r="C244" t="s">
        <v>35</v>
      </c>
      <c r="D244" t="s">
        <v>18</v>
      </c>
      <c r="E244" s="2">
        <v>9709.7000000000007</v>
      </c>
      <c r="F244">
        <v>3</v>
      </c>
      <c r="G244" t="s">
        <v>39</v>
      </c>
      <c r="H244" s="2">
        <v>1216.1600000000001</v>
      </c>
      <c r="I244" s="2">
        <v>1295.3699999999999</v>
      </c>
      <c r="J244" t="s">
        <v>27</v>
      </c>
      <c r="K244">
        <v>0.14000000000000001</v>
      </c>
      <c r="L244" t="s">
        <v>21</v>
      </c>
      <c r="M244" t="s">
        <v>32</v>
      </c>
      <c r="N244" t="s">
        <v>36</v>
      </c>
      <c r="O244" s="2">
        <f>_Salesdata[[#This Row],[Unit_Price]] * _Salesdata[[#This Row],[Quantity_Sold]]</f>
        <v>3886.1099999999997</v>
      </c>
      <c r="P244" s="2">
        <f>_Salesdata[[#This Row],[Unit_Cost]] * _Salesdata[[#This Row],[Quantity_Sold]]</f>
        <v>3648.4800000000005</v>
      </c>
      <c r="Q244" s="2">
        <f>_Salesdata[[#This Row],[Gross_Sales]] - _Salesdata[[#This Row],[Total Cost]]</f>
        <v>237.6299999999992</v>
      </c>
      <c r="R244" s="2"/>
    </row>
    <row r="245" spans="1:18" x14ac:dyDescent="0.25">
      <c r="A245">
        <v>1068</v>
      </c>
      <c r="B245" s="1">
        <v>45244</v>
      </c>
      <c r="C245" t="s">
        <v>35</v>
      </c>
      <c r="D245" t="s">
        <v>25</v>
      </c>
      <c r="E245" s="2">
        <v>3607.29</v>
      </c>
      <c r="F245">
        <v>42</v>
      </c>
      <c r="G245" t="s">
        <v>19</v>
      </c>
      <c r="H245" s="2">
        <v>1218.18</v>
      </c>
      <c r="I245" s="2">
        <v>1566.36</v>
      </c>
      <c r="J245" t="s">
        <v>20</v>
      </c>
      <c r="K245">
        <v>0.03</v>
      </c>
      <c r="L245" t="s">
        <v>28</v>
      </c>
      <c r="M245" t="s">
        <v>32</v>
      </c>
      <c r="N245" t="s">
        <v>56</v>
      </c>
      <c r="O245" s="2">
        <f>_Salesdata[[#This Row],[Unit_Price]] * _Salesdata[[#This Row],[Quantity_Sold]]</f>
        <v>65787.12</v>
      </c>
      <c r="P245" s="2">
        <f>_Salesdata[[#This Row],[Unit_Cost]] * _Salesdata[[#This Row],[Quantity_Sold]]</f>
        <v>51163.560000000005</v>
      </c>
      <c r="Q245" s="2">
        <f>_Salesdata[[#This Row],[Gross_Sales]] - _Salesdata[[#This Row],[Total Cost]]</f>
        <v>14623.55999999999</v>
      </c>
      <c r="R245" s="2"/>
    </row>
    <row r="246" spans="1:18" x14ac:dyDescent="0.25">
      <c r="A246">
        <v>1061</v>
      </c>
      <c r="B246" s="1">
        <v>45024</v>
      </c>
      <c r="C246" t="s">
        <v>35</v>
      </c>
      <c r="D246" t="s">
        <v>18</v>
      </c>
      <c r="E246" s="2">
        <v>3988.03</v>
      </c>
      <c r="F246">
        <v>29</v>
      </c>
      <c r="G246" t="s">
        <v>19</v>
      </c>
      <c r="H246" s="2">
        <v>1221.74</v>
      </c>
      <c r="I246" s="2">
        <v>1611.92</v>
      </c>
      <c r="J246" t="s">
        <v>27</v>
      </c>
      <c r="K246">
        <v>0.15</v>
      </c>
      <c r="L246" t="s">
        <v>21</v>
      </c>
      <c r="M246" t="s">
        <v>32</v>
      </c>
      <c r="N246" t="s">
        <v>36</v>
      </c>
      <c r="O246" s="2">
        <f>_Salesdata[[#This Row],[Unit_Price]] * _Salesdata[[#This Row],[Quantity_Sold]]</f>
        <v>46745.68</v>
      </c>
      <c r="P246" s="2">
        <f>_Salesdata[[#This Row],[Unit_Cost]] * _Salesdata[[#This Row],[Quantity_Sold]]</f>
        <v>35430.46</v>
      </c>
      <c r="Q246" s="2">
        <f>_Salesdata[[#This Row],[Gross_Sales]] - _Salesdata[[#This Row],[Total Cost]]</f>
        <v>11315.220000000001</v>
      </c>
      <c r="R246" s="2"/>
    </row>
    <row r="247" spans="1:18" x14ac:dyDescent="0.25">
      <c r="A247">
        <v>1013</v>
      </c>
      <c r="B247" s="1">
        <v>45078</v>
      </c>
      <c r="C247" t="s">
        <v>35</v>
      </c>
      <c r="D247" t="s">
        <v>18</v>
      </c>
      <c r="E247" s="2">
        <v>2985.46</v>
      </c>
      <c r="F247">
        <v>16</v>
      </c>
      <c r="G247" t="s">
        <v>39</v>
      </c>
      <c r="H247" s="2">
        <v>1222.1500000000001</v>
      </c>
      <c r="I247" s="2">
        <v>1284.3599999999999</v>
      </c>
      <c r="J247" t="s">
        <v>20</v>
      </c>
      <c r="K247">
        <v>0.03</v>
      </c>
      <c r="L247" t="s">
        <v>28</v>
      </c>
      <c r="M247" t="s">
        <v>32</v>
      </c>
      <c r="N247" t="s">
        <v>36</v>
      </c>
      <c r="O247" s="2">
        <f>_Salesdata[[#This Row],[Unit_Price]] * _Salesdata[[#This Row],[Quantity_Sold]]</f>
        <v>20549.759999999998</v>
      </c>
      <c r="P247" s="2">
        <f>_Salesdata[[#This Row],[Unit_Cost]] * _Salesdata[[#This Row],[Quantity_Sold]]</f>
        <v>19554.400000000001</v>
      </c>
      <c r="Q247" s="2">
        <f>_Salesdata[[#This Row],[Gross_Sales]] - _Salesdata[[#This Row],[Total Cost]]</f>
        <v>995.35999999999694</v>
      </c>
      <c r="R247" s="2"/>
    </row>
    <row r="248" spans="1:18" x14ac:dyDescent="0.25">
      <c r="A248">
        <v>1021</v>
      </c>
      <c r="B248" s="1">
        <v>45104</v>
      </c>
      <c r="C248" t="s">
        <v>35</v>
      </c>
      <c r="D248" t="s">
        <v>37</v>
      </c>
      <c r="E248" s="2">
        <v>3777.53</v>
      </c>
      <c r="F248">
        <v>19</v>
      </c>
      <c r="G248" t="s">
        <v>26</v>
      </c>
      <c r="H248" s="2">
        <v>1222.4000000000001</v>
      </c>
      <c r="I248" s="2">
        <v>1464.71</v>
      </c>
      <c r="J248" t="s">
        <v>27</v>
      </c>
      <c r="K248">
        <v>0</v>
      </c>
      <c r="L248" t="s">
        <v>28</v>
      </c>
      <c r="M248" t="s">
        <v>32</v>
      </c>
      <c r="N248" t="s">
        <v>38</v>
      </c>
      <c r="O248" s="2">
        <f>_Salesdata[[#This Row],[Unit_Price]] * _Salesdata[[#This Row],[Quantity_Sold]]</f>
        <v>27829.49</v>
      </c>
      <c r="P248" s="2">
        <f>_Salesdata[[#This Row],[Unit_Cost]] * _Salesdata[[#This Row],[Quantity_Sold]]</f>
        <v>23225.600000000002</v>
      </c>
      <c r="Q248" s="2">
        <f>_Salesdata[[#This Row],[Gross_Sales]] - _Salesdata[[#This Row],[Total Cost]]</f>
        <v>4603.8899999999994</v>
      </c>
      <c r="R248" s="2"/>
    </row>
    <row r="249" spans="1:18" x14ac:dyDescent="0.25">
      <c r="A249">
        <v>1017</v>
      </c>
      <c r="B249" s="1">
        <v>44955</v>
      </c>
      <c r="C249" t="s">
        <v>35</v>
      </c>
      <c r="D249" t="s">
        <v>40</v>
      </c>
      <c r="E249" s="2">
        <v>4882.09</v>
      </c>
      <c r="F249">
        <v>19</v>
      </c>
      <c r="G249" t="s">
        <v>26</v>
      </c>
      <c r="H249" s="2">
        <v>1233.1199999999999</v>
      </c>
      <c r="I249" s="2">
        <v>1697.1899999999901</v>
      </c>
      <c r="J249" t="s">
        <v>27</v>
      </c>
      <c r="K249">
        <v>0.1</v>
      </c>
      <c r="L249" t="s">
        <v>28</v>
      </c>
      <c r="M249" t="s">
        <v>22</v>
      </c>
      <c r="N249" t="s">
        <v>43</v>
      </c>
      <c r="O249" s="2">
        <f>_Salesdata[[#This Row],[Unit_Price]] * _Salesdata[[#This Row],[Quantity_Sold]]</f>
        <v>32246.609999999811</v>
      </c>
      <c r="P249" s="2">
        <f>_Salesdata[[#This Row],[Unit_Cost]] * _Salesdata[[#This Row],[Quantity_Sold]]</f>
        <v>23429.279999999999</v>
      </c>
      <c r="Q249" s="2">
        <f>_Salesdata[[#This Row],[Gross_Sales]] - _Salesdata[[#This Row],[Total Cost]]</f>
        <v>8817.3299999998126</v>
      </c>
      <c r="R249" s="2"/>
    </row>
    <row r="250" spans="1:18" x14ac:dyDescent="0.25">
      <c r="A250">
        <v>1028</v>
      </c>
      <c r="B250" s="1">
        <v>45233</v>
      </c>
      <c r="C250" t="s">
        <v>24</v>
      </c>
      <c r="D250" t="s">
        <v>37</v>
      </c>
      <c r="E250" s="2">
        <v>5755.48</v>
      </c>
      <c r="F250">
        <v>38</v>
      </c>
      <c r="G250" t="s">
        <v>19</v>
      </c>
      <c r="H250" s="2">
        <v>1234.69</v>
      </c>
      <c r="I250" s="2">
        <v>1511.26</v>
      </c>
      <c r="J250" t="s">
        <v>27</v>
      </c>
      <c r="K250">
        <v>0.1</v>
      </c>
      <c r="L250" t="s">
        <v>44</v>
      </c>
      <c r="M250" t="s">
        <v>22</v>
      </c>
      <c r="N250" t="s">
        <v>53</v>
      </c>
      <c r="O250" s="2">
        <f>_Salesdata[[#This Row],[Unit_Price]] * _Salesdata[[#This Row],[Quantity_Sold]]</f>
        <v>57427.88</v>
      </c>
      <c r="P250" s="2">
        <f>_Salesdata[[#This Row],[Unit_Cost]] * _Salesdata[[#This Row],[Quantity_Sold]]</f>
        <v>46918.22</v>
      </c>
      <c r="Q250" s="2">
        <f>_Salesdata[[#This Row],[Gross_Sales]] - _Salesdata[[#This Row],[Total Cost]]</f>
        <v>10509.659999999996</v>
      </c>
      <c r="R250" s="2"/>
    </row>
    <row r="251" spans="1:18" x14ac:dyDescent="0.25">
      <c r="A251">
        <v>1081</v>
      </c>
      <c r="B251" s="1">
        <v>45173</v>
      </c>
      <c r="C251" t="s">
        <v>24</v>
      </c>
      <c r="D251" t="s">
        <v>37</v>
      </c>
      <c r="E251" s="2">
        <v>7215.52</v>
      </c>
      <c r="F251">
        <v>23</v>
      </c>
      <c r="G251" t="s">
        <v>26</v>
      </c>
      <c r="H251" s="2">
        <v>1236.25</v>
      </c>
      <c r="I251" s="2">
        <v>1543.38</v>
      </c>
      <c r="J251" t="s">
        <v>27</v>
      </c>
      <c r="K251">
        <v>0.1</v>
      </c>
      <c r="L251" t="s">
        <v>44</v>
      </c>
      <c r="M251" t="s">
        <v>22</v>
      </c>
      <c r="N251" t="s">
        <v>53</v>
      </c>
      <c r="O251" s="2">
        <f>_Salesdata[[#This Row],[Unit_Price]] * _Salesdata[[#This Row],[Quantity_Sold]]</f>
        <v>35497.740000000005</v>
      </c>
      <c r="P251" s="2">
        <f>_Salesdata[[#This Row],[Unit_Cost]] * _Salesdata[[#This Row],[Quantity_Sold]]</f>
        <v>28433.75</v>
      </c>
      <c r="Q251" s="2">
        <f>_Salesdata[[#This Row],[Gross_Sales]] - _Salesdata[[#This Row],[Total Cost]]</f>
        <v>7063.9900000000052</v>
      </c>
      <c r="R251" s="2"/>
    </row>
    <row r="252" spans="1:18" x14ac:dyDescent="0.25">
      <c r="A252">
        <v>1065</v>
      </c>
      <c r="B252" s="1">
        <v>45254</v>
      </c>
      <c r="C252" t="s">
        <v>17</v>
      </c>
      <c r="D252" t="s">
        <v>18</v>
      </c>
      <c r="E252" s="2">
        <v>9183.11</v>
      </c>
      <c r="F252">
        <v>18</v>
      </c>
      <c r="G252" t="s">
        <v>31</v>
      </c>
      <c r="H252" s="2">
        <v>1239.0899999999999</v>
      </c>
      <c r="I252" s="2">
        <v>1273.98</v>
      </c>
      <c r="J252" t="s">
        <v>27</v>
      </c>
      <c r="K252">
        <v>0.02</v>
      </c>
      <c r="L252" t="s">
        <v>44</v>
      </c>
      <c r="M252" t="s">
        <v>32</v>
      </c>
      <c r="N252" t="s">
        <v>23</v>
      </c>
      <c r="O252" s="2">
        <f>_Salesdata[[#This Row],[Unit_Price]] * _Salesdata[[#This Row],[Quantity_Sold]]</f>
        <v>22931.64</v>
      </c>
      <c r="P252" s="2">
        <f>_Salesdata[[#This Row],[Unit_Cost]] * _Salesdata[[#This Row],[Quantity_Sold]]</f>
        <v>22303.62</v>
      </c>
      <c r="Q252" s="2">
        <f>_Salesdata[[#This Row],[Gross_Sales]] - _Salesdata[[#This Row],[Total Cost]]</f>
        <v>628.02000000000044</v>
      </c>
      <c r="R252" s="2"/>
    </row>
    <row r="253" spans="1:18" x14ac:dyDescent="0.25">
      <c r="A253">
        <v>1036</v>
      </c>
      <c r="B253" s="1">
        <v>45219</v>
      </c>
      <c r="C253" t="s">
        <v>30</v>
      </c>
      <c r="D253" t="s">
        <v>37</v>
      </c>
      <c r="E253" s="2">
        <v>6499.94</v>
      </c>
      <c r="F253">
        <v>49</v>
      </c>
      <c r="G253" t="s">
        <v>19</v>
      </c>
      <c r="H253" s="2">
        <v>1247.0999999999999</v>
      </c>
      <c r="I253" s="2">
        <v>1429.4399999999901</v>
      </c>
      <c r="J253" t="s">
        <v>27</v>
      </c>
      <c r="K253">
        <v>0.16</v>
      </c>
      <c r="L253" t="s">
        <v>21</v>
      </c>
      <c r="M253" t="s">
        <v>22</v>
      </c>
      <c r="N253" t="s">
        <v>51</v>
      </c>
      <c r="O253" s="2">
        <f>_Salesdata[[#This Row],[Unit_Price]] * _Salesdata[[#This Row],[Quantity_Sold]]</f>
        <v>70042.559999999517</v>
      </c>
      <c r="P253" s="2">
        <f>_Salesdata[[#This Row],[Unit_Cost]] * _Salesdata[[#This Row],[Quantity_Sold]]</f>
        <v>61107.899999999994</v>
      </c>
      <c r="Q253" s="2">
        <f>_Salesdata[[#This Row],[Gross_Sales]] - _Salesdata[[#This Row],[Total Cost]]</f>
        <v>8934.6599999995233</v>
      </c>
      <c r="R253" s="2"/>
    </row>
    <row r="254" spans="1:18" x14ac:dyDescent="0.25">
      <c r="A254">
        <v>1047</v>
      </c>
      <c r="B254" s="1">
        <v>45285</v>
      </c>
      <c r="C254" t="s">
        <v>30</v>
      </c>
      <c r="D254" t="s">
        <v>37</v>
      </c>
      <c r="E254" s="2">
        <v>7405.06</v>
      </c>
      <c r="F254">
        <v>43</v>
      </c>
      <c r="G254" t="s">
        <v>26</v>
      </c>
      <c r="H254" s="2">
        <v>1249.17</v>
      </c>
      <c r="I254" s="2">
        <v>1727.15</v>
      </c>
      <c r="J254" t="s">
        <v>27</v>
      </c>
      <c r="K254">
        <v>0.08</v>
      </c>
      <c r="L254" t="s">
        <v>21</v>
      </c>
      <c r="M254" t="s">
        <v>32</v>
      </c>
      <c r="N254" t="s">
        <v>51</v>
      </c>
      <c r="O254" s="2">
        <f>_Salesdata[[#This Row],[Unit_Price]] * _Salesdata[[#This Row],[Quantity_Sold]]</f>
        <v>74267.45</v>
      </c>
      <c r="P254" s="2">
        <f>_Salesdata[[#This Row],[Unit_Cost]] * _Salesdata[[#This Row],[Quantity_Sold]]</f>
        <v>53714.310000000005</v>
      </c>
      <c r="Q254" s="2">
        <f>_Salesdata[[#This Row],[Gross_Sales]] - _Salesdata[[#This Row],[Total Cost]]</f>
        <v>20553.139999999992</v>
      </c>
      <c r="R254" s="2"/>
    </row>
    <row r="255" spans="1:18" x14ac:dyDescent="0.25">
      <c r="A255">
        <v>1025</v>
      </c>
      <c r="B255" s="1">
        <v>45282</v>
      </c>
      <c r="C255" t="s">
        <v>17</v>
      </c>
      <c r="D255" t="s">
        <v>40</v>
      </c>
      <c r="E255" s="2">
        <v>6030.54</v>
      </c>
      <c r="F255">
        <v>11</v>
      </c>
      <c r="G255" t="s">
        <v>31</v>
      </c>
      <c r="H255" s="2">
        <v>1250.5899999999999</v>
      </c>
      <c r="I255" s="2">
        <v>1515.48999999999</v>
      </c>
      <c r="J255" t="s">
        <v>20</v>
      </c>
      <c r="K255">
        <v>0.21</v>
      </c>
      <c r="L255" t="s">
        <v>44</v>
      </c>
      <c r="M255" t="s">
        <v>32</v>
      </c>
      <c r="N255" t="s">
        <v>42</v>
      </c>
      <c r="O255" s="2">
        <f>_Salesdata[[#This Row],[Unit_Price]] * _Salesdata[[#This Row],[Quantity_Sold]]</f>
        <v>16670.38999999989</v>
      </c>
      <c r="P255" s="2">
        <f>_Salesdata[[#This Row],[Unit_Cost]] * _Salesdata[[#This Row],[Quantity_Sold]]</f>
        <v>13756.49</v>
      </c>
      <c r="Q255" s="2">
        <f>_Salesdata[[#This Row],[Gross_Sales]] - _Salesdata[[#This Row],[Total Cost]]</f>
        <v>2913.8999999998905</v>
      </c>
      <c r="R255" s="2"/>
    </row>
    <row r="256" spans="1:18" x14ac:dyDescent="0.25">
      <c r="A256">
        <v>1024</v>
      </c>
      <c r="B256" s="1">
        <v>44991</v>
      </c>
      <c r="C256" t="s">
        <v>24</v>
      </c>
      <c r="D256" t="s">
        <v>40</v>
      </c>
      <c r="E256" s="2">
        <v>9602.64</v>
      </c>
      <c r="F256">
        <v>35</v>
      </c>
      <c r="G256" t="s">
        <v>26</v>
      </c>
      <c r="H256" s="2">
        <v>1258.53</v>
      </c>
      <c r="I256" s="2">
        <v>1624.8899999999901</v>
      </c>
      <c r="J256" t="s">
        <v>27</v>
      </c>
      <c r="K256">
        <v>0.08</v>
      </c>
      <c r="L256" t="s">
        <v>28</v>
      </c>
      <c r="M256" t="s">
        <v>22</v>
      </c>
      <c r="N256" t="s">
        <v>55</v>
      </c>
      <c r="O256" s="2">
        <f>_Salesdata[[#This Row],[Unit_Price]] * _Salesdata[[#This Row],[Quantity_Sold]]</f>
        <v>56871.149999999652</v>
      </c>
      <c r="P256" s="2">
        <f>_Salesdata[[#This Row],[Unit_Cost]] * _Salesdata[[#This Row],[Quantity_Sold]]</f>
        <v>44048.549999999996</v>
      </c>
      <c r="Q256" s="2">
        <f>_Salesdata[[#This Row],[Gross_Sales]] - _Salesdata[[#This Row],[Total Cost]]</f>
        <v>12822.599999999657</v>
      </c>
      <c r="R256" s="2"/>
    </row>
    <row r="257" spans="1:18" x14ac:dyDescent="0.25">
      <c r="A257">
        <v>1026</v>
      </c>
      <c r="B257" s="1">
        <v>44961</v>
      </c>
      <c r="C257" t="s">
        <v>24</v>
      </c>
      <c r="D257" t="s">
        <v>25</v>
      </c>
      <c r="E257" s="2">
        <v>1554.93</v>
      </c>
      <c r="F257">
        <v>19</v>
      </c>
      <c r="G257" t="s">
        <v>26</v>
      </c>
      <c r="H257" s="2">
        <v>1265.48</v>
      </c>
      <c r="I257" s="2">
        <v>1715.83</v>
      </c>
      <c r="J257" t="s">
        <v>27</v>
      </c>
      <c r="K257">
        <v>0.05</v>
      </c>
      <c r="L257" t="s">
        <v>28</v>
      </c>
      <c r="M257" t="s">
        <v>32</v>
      </c>
      <c r="N257" t="s">
        <v>29</v>
      </c>
      <c r="O257" s="2">
        <f>_Salesdata[[#This Row],[Unit_Price]] * _Salesdata[[#This Row],[Quantity_Sold]]</f>
        <v>32600.769999999997</v>
      </c>
      <c r="P257" s="2">
        <f>_Salesdata[[#This Row],[Unit_Cost]] * _Salesdata[[#This Row],[Quantity_Sold]]</f>
        <v>24044.12</v>
      </c>
      <c r="Q257" s="2">
        <f>_Salesdata[[#This Row],[Gross_Sales]] - _Salesdata[[#This Row],[Total Cost]]</f>
        <v>8556.6499999999978</v>
      </c>
      <c r="R257" s="2"/>
    </row>
    <row r="258" spans="1:18" x14ac:dyDescent="0.25">
      <c r="A258">
        <v>1038</v>
      </c>
      <c r="B258" s="1">
        <v>45239</v>
      </c>
      <c r="C258" t="s">
        <v>30</v>
      </c>
      <c r="D258" t="s">
        <v>18</v>
      </c>
      <c r="E258" s="2">
        <v>6966.82</v>
      </c>
      <c r="F258">
        <v>1</v>
      </c>
      <c r="G258" t="s">
        <v>31</v>
      </c>
      <c r="H258" s="2">
        <v>1281.6500000000001</v>
      </c>
      <c r="I258" s="2">
        <v>1709.71</v>
      </c>
      <c r="J258" t="s">
        <v>20</v>
      </c>
      <c r="K258">
        <v>0.14000000000000001</v>
      </c>
      <c r="L258" t="s">
        <v>28</v>
      </c>
      <c r="M258" t="s">
        <v>22</v>
      </c>
      <c r="N258" t="s">
        <v>33</v>
      </c>
      <c r="O258" s="2">
        <f>_Salesdata[[#This Row],[Unit_Price]] * _Salesdata[[#This Row],[Quantity_Sold]]</f>
        <v>1709.71</v>
      </c>
      <c r="P258" s="2">
        <f>_Salesdata[[#This Row],[Unit_Cost]] * _Salesdata[[#This Row],[Quantity_Sold]]</f>
        <v>1281.6500000000001</v>
      </c>
      <c r="Q258" s="2">
        <f>_Salesdata[[#This Row],[Gross_Sales]] - _Salesdata[[#This Row],[Total Cost]]</f>
        <v>428.05999999999995</v>
      </c>
      <c r="R258" s="2"/>
    </row>
    <row r="259" spans="1:18" x14ac:dyDescent="0.25">
      <c r="A259">
        <v>1057</v>
      </c>
      <c r="B259" s="1">
        <v>45237</v>
      </c>
      <c r="C259" t="s">
        <v>17</v>
      </c>
      <c r="D259" t="s">
        <v>18</v>
      </c>
      <c r="E259" s="2">
        <v>7084.06</v>
      </c>
      <c r="F259">
        <v>26</v>
      </c>
      <c r="G259" t="s">
        <v>19</v>
      </c>
      <c r="H259" s="2">
        <v>1291.82</v>
      </c>
      <c r="I259" s="2">
        <v>1308.4399999999901</v>
      </c>
      <c r="J259" t="s">
        <v>20</v>
      </c>
      <c r="K259">
        <v>7.0000000000000007E-2</v>
      </c>
      <c r="L259" t="s">
        <v>28</v>
      </c>
      <c r="M259" t="s">
        <v>22</v>
      </c>
      <c r="N259" t="s">
        <v>23</v>
      </c>
      <c r="O259" s="2">
        <f>_Salesdata[[#This Row],[Unit_Price]] * _Salesdata[[#This Row],[Quantity_Sold]]</f>
        <v>34019.43999999974</v>
      </c>
      <c r="P259" s="2">
        <f>_Salesdata[[#This Row],[Unit_Cost]] * _Salesdata[[#This Row],[Quantity_Sold]]</f>
        <v>33587.32</v>
      </c>
      <c r="Q259" s="2">
        <f>_Salesdata[[#This Row],[Gross_Sales]] - _Salesdata[[#This Row],[Total Cost]]</f>
        <v>432.11999999974068</v>
      </c>
      <c r="R259" s="2"/>
    </row>
    <row r="260" spans="1:18" x14ac:dyDescent="0.25">
      <c r="A260">
        <v>1032</v>
      </c>
      <c r="B260" s="1">
        <v>45211</v>
      </c>
      <c r="C260" t="s">
        <v>24</v>
      </c>
      <c r="D260" t="s">
        <v>37</v>
      </c>
      <c r="E260" s="2">
        <v>3035.94</v>
      </c>
      <c r="F260">
        <v>17</v>
      </c>
      <c r="G260" t="s">
        <v>19</v>
      </c>
      <c r="H260" s="2">
        <v>1291.9100000000001</v>
      </c>
      <c r="I260" s="2">
        <v>1528.59</v>
      </c>
      <c r="J260" t="s">
        <v>20</v>
      </c>
      <c r="K260">
        <v>0.11</v>
      </c>
      <c r="L260" t="s">
        <v>28</v>
      </c>
      <c r="M260" t="s">
        <v>32</v>
      </c>
      <c r="N260" t="s">
        <v>53</v>
      </c>
      <c r="O260" s="2">
        <f>_Salesdata[[#This Row],[Unit_Price]] * _Salesdata[[#This Row],[Quantity_Sold]]</f>
        <v>25986.03</v>
      </c>
      <c r="P260" s="2">
        <f>_Salesdata[[#This Row],[Unit_Cost]] * _Salesdata[[#This Row],[Quantity_Sold]]</f>
        <v>21962.47</v>
      </c>
      <c r="Q260" s="2">
        <f>_Salesdata[[#This Row],[Gross_Sales]] - _Salesdata[[#This Row],[Total Cost]]</f>
        <v>4023.5599999999977</v>
      </c>
      <c r="R260" s="2"/>
    </row>
    <row r="261" spans="1:18" x14ac:dyDescent="0.25">
      <c r="A261">
        <v>1021</v>
      </c>
      <c r="B261" s="1">
        <v>45081</v>
      </c>
      <c r="C261" t="s">
        <v>48</v>
      </c>
      <c r="D261" t="s">
        <v>37</v>
      </c>
      <c r="E261" s="2">
        <v>2265.2800000000002</v>
      </c>
      <c r="F261">
        <v>22</v>
      </c>
      <c r="G261" t="s">
        <v>26</v>
      </c>
      <c r="H261" s="2">
        <v>1296.44</v>
      </c>
      <c r="I261" s="2">
        <v>1751.24</v>
      </c>
      <c r="J261" t="s">
        <v>27</v>
      </c>
      <c r="K261">
        <v>0.22</v>
      </c>
      <c r="L261" t="s">
        <v>21</v>
      </c>
      <c r="M261" t="s">
        <v>22</v>
      </c>
      <c r="N261" t="s">
        <v>52</v>
      </c>
      <c r="O261" s="2">
        <f>_Salesdata[[#This Row],[Unit_Price]] * _Salesdata[[#This Row],[Quantity_Sold]]</f>
        <v>38527.279999999999</v>
      </c>
      <c r="P261" s="2">
        <f>_Salesdata[[#This Row],[Unit_Cost]] * _Salesdata[[#This Row],[Quantity_Sold]]</f>
        <v>28521.68</v>
      </c>
      <c r="Q261" s="2">
        <f>_Salesdata[[#This Row],[Gross_Sales]] - _Salesdata[[#This Row],[Total Cost]]</f>
        <v>10005.599999999999</v>
      </c>
      <c r="R261" s="2"/>
    </row>
    <row r="262" spans="1:18" x14ac:dyDescent="0.25">
      <c r="A262">
        <v>1035</v>
      </c>
      <c r="B262" s="1">
        <v>45008</v>
      </c>
      <c r="C262" t="s">
        <v>30</v>
      </c>
      <c r="D262" t="s">
        <v>18</v>
      </c>
      <c r="E262" s="2">
        <v>613.16999999999996</v>
      </c>
      <c r="F262">
        <v>30</v>
      </c>
      <c r="G262" t="s">
        <v>19</v>
      </c>
      <c r="H262" s="2">
        <v>1300.03</v>
      </c>
      <c r="I262" s="2">
        <v>1745.52</v>
      </c>
      <c r="J262" t="s">
        <v>27</v>
      </c>
      <c r="K262">
        <v>0.09</v>
      </c>
      <c r="L262" t="s">
        <v>21</v>
      </c>
      <c r="M262" t="s">
        <v>32</v>
      </c>
      <c r="N262" t="s">
        <v>33</v>
      </c>
      <c r="O262" s="2">
        <f>_Salesdata[[#This Row],[Unit_Price]] * _Salesdata[[#This Row],[Quantity_Sold]]</f>
        <v>52365.599999999999</v>
      </c>
      <c r="P262" s="2">
        <f>_Salesdata[[#This Row],[Unit_Cost]] * _Salesdata[[#This Row],[Quantity_Sold]]</f>
        <v>39000.9</v>
      </c>
      <c r="Q262" s="2">
        <f>_Salesdata[[#This Row],[Gross_Sales]] - _Salesdata[[#This Row],[Total Cost]]</f>
        <v>13364.699999999997</v>
      </c>
      <c r="R262" s="2"/>
    </row>
    <row r="263" spans="1:18" x14ac:dyDescent="0.25">
      <c r="A263">
        <v>1074</v>
      </c>
      <c r="B263" s="1">
        <v>44972</v>
      </c>
      <c r="C263" t="s">
        <v>17</v>
      </c>
      <c r="D263" t="s">
        <v>25</v>
      </c>
      <c r="E263" s="2">
        <v>1383.82</v>
      </c>
      <c r="F263">
        <v>1</v>
      </c>
      <c r="G263" t="s">
        <v>39</v>
      </c>
      <c r="H263" s="2">
        <v>1304.23</v>
      </c>
      <c r="I263" s="2">
        <v>1705.71</v>
      </c>
      <c r="J263" t="s">
        <v>20</v>
      </c>
      <c r="K263">
        <v>0.01</v>
      </c>
      <c r="L263" t="s">
        <v>21</v>
      </c>
      <c r="M263" t="s">
        <v>32</v>
      </c>
      <c r="N263" t="s">
        <v>34</v>
      </c>
      <c r="O263" s="2">
        <f>_Salesdata[[#This Row],[Unit_Price]] * _Salesdata[[#This Row],[Quantity_Sold]]</f>
        <v>1705.71</v>
      </c>
      <c r="P263" s="2">
        <f>_Salesdata[[#This Row],[Unit_Cost]] * _Salesdata[[#This Row],[Quantity_Sold]]</f>
        <v>1304.23</v>
      </c>
      <c r="Q263" s="2">
        <f>_Salesdata[[#This Row],[Gross_Sales]] - _Salesdata[[#This Row],[Total Cost]]</f>
        <v>401.48</v>
      </c>
      <c r="R263" s="2"/>
    </row>
    <row r="264" spans="1:18" x14ac:dyDescent="0.25">
      <c r="A264">
        <v>1058</v>
      </c>
      <c r="B264" s="1">
        <v>44987</v>
      </c>
      <c r="C264" t="s">
        <v>48</v>
      </c>
      <c r="D264" t="s">
        <v>18</v>
      </c>
      <c r="E264" s="2">
        <v>5463.43</v>
      </c>
      <c r="F264">
        <v>49</v>
      </c>
      <c r="G264" t="s">
        <v>39</v>
      </c>
      <c r="H264" s="2">
        <v>1307.22</v>
      </c>
      <c r="I264" s="2">
        <v>1528.4</v>
      </c>
      <c r="J264" t="s">
        <v>20</v>
      </c>
      <c r="K264">
        <v>0.24</v>
      </c>
      <c r="L264" t="s">
        <v>21</v>
      </c>
      <c r="M264" t="s">
        <v>32</v>
      </c>
      <c r="N264" t="s">
        <v>54</v>
      </c>
      <c r="O264" s="2">
        <f>_Salesdata[[#This Row],[Unit_Price]] * _Salesdata[[#This Row],[Quantity_Sold]]</f>
        <v>74891.600000000006</v>
      </c>
      <c r="P264" s="2">
        <f>_Salesdata[[#This Row],[Unit_Cost]] * _Salesdata[[#This Row],[Quantity_Sold]]</f>
        <v>64053.78</v>
      </c>
      <c r="Q264" s="2">
        <f>_Salesdata[[#This Row],[Gross_Sales]] - _Salesdata[[#This Row],[Total Cost]]</f>
        <v>10837.820000000007</v>
      </c>
      <c r="R264" s="2"/>
    </row>
    <row r="265" spans="1:18" x14ac:dyDescent="0.25">
      <c r="A265">
        <v>1037</v>
      </c>
      <c r="B265" s="1">
        <v>45188</v>
      </c>
      <c r="C265" t="s">
        <v>24</v>
      </c>
      <c r="D265" t="s">
        <v>40</v>
      </c>
      <c r="E265" s="2">
        <v>4606.2</v>
      </c>
      <c r="F265">
        <v>17</v>
      </c>
      <c r="G265" t="s">
        <v>26</v>
      </c>
      <c r="H265" s="2">
        <v>1308.58</v>
      </c>
      <c r="I265" s="2">
        <v>1575.59</v>
      </c>
      <c r="J265" t="s">
        <v>27</v>
      </c>
      <c r="K265">
        <v>0.3</v>
      </c>
      <c r="L265" t="s">
        <v>21</v>
      </c>
      <c r="M265" t="s">
        <v>22</v>
      </c>
      <c r="N265" t="s">
        <v>55</v>
      </c>
      <c r="O265" s="2">
        <f>_Salesdata[[#This Row],[Unit_Price]] * _Salesdata[[#This Row],[Quantity_Sold]]</f>
        <v>26785.03</v>
      </c>
      <c r="P265" s="2">
        <f>_Salesdata[[#This Row],[Unit_Cost]] * _Salesdata[[#This Row],[Quantity_Sold]]</f>
        <v>22245.86</v>
      </c>
      <c r="Q265" s="2">
        <f>_Salesdata[[#This Row],[Gross_Sales]] - _Salesdata[[#This Row],[Total Cost]]</f>
        <v>4539.1699999999983</v>
      </c>
      <c r="R265" s="2"/>
    </row>
    <row r="266" spans="1:18" x14ac:dyDescent="0.25">
      <c r="A266">
        <v>1012</v>
      </c>
      <c r="B266" s="1">
        <v>45055</v>
      </c>
      <c r="C266" t="s">
        <v>30</v>
      </c>
      <c r="D266" t="s">
        <v>25</v>
      </c>
      <c r="E266" s="2">
        <v>8070.39</v>
      </c>
      <c r="F266">
        <v>13</v>
      </c>
      <c r="G266" t="s">
        <v>31</v>
      </c>
      <c r="H266" s="2">
        <v>1311.01</v>
      </c>
      <c r="I266" s="2">
        <v>1538.79</v>
      </c>
      <c r="J266" t="s">
        <v>20</v>
      </c>
      <c r="K266">
        <v>0.09</v>
      </c>
      <c r="L266" t="s">
        <v>44</v>
      </c>
      <c r="M266" t="s">
        <v>32</v>
      </c>
      <c r="N266" t="s">
        <v>45</v>
      </c>
      <c r="O266" s="2">
        <f>_Salesdata[[#This Row],[Unit_Price]] * _Salesdata[[#This Row],[Quantity_Sold]]</f>
        <v>20004.27</v>
      </c>
      <c r="P266" s="2">
        <f>_Salesdata[[#This Row],[Unit_Cost]] * _Salesdata[[#This Row],[Quantity_Sold]]</f>
        <v>17043.13</v>
      </c>
      <c r="Q266" s="2">
        <f>_Salesdata[[#This Row],[Gross_Sales]] - _Salesdata[[#This Row],[Total Cost]]</f>
        <v>2961.1399999999994</v>
      </c>
      <c r="R266" s="2"/>
    </row>
    <row r="267" spans="1:18" x14ac:dyDescent="0.25">
      <c r="A267">
        <v>1013</v>
      </c>
      <c r="B267" s="1">
        <v>44938</v>
      </c>
      <c r="C267" t="s">
        <v>24</v>
      </c>
      <c r="D267" t="s">
        <v>25</v>
      </c>
      <c r="E267" s="2">
        <v>7646.8</v>
      </c>
      <c r="F267">
        <v>35</v>
      </c>
      <c r="G267" t="s">
        <v>26</v>
      </c>
      <c r="H267" s="2">
        <v>1312.71</v>
      </c>
      <c r="I267" s="2">
        <v>1352.11</v>
      </c>
      <c r="J267" t="s">
        <v>20</v>
      </c>
      <c r="K267">
        <v>0.22</v>
      </c>
      <c r="L267" t="s">
        <v>44</v>
      </c>
      <c r="M267" t="s">
        <v>32</v>
      </c>
      <c r="N267" t="s">
        <v>29</v>
      </c>
      <c r="O267" s="2">
        <f>_Salesdata[[#This Row],[Unit_Price]] * _Salesdata[[#This Row],[Quantity_Sold]]</f>
        <v>47323.85</v>
      </c>
      <c r="P267" s="2">
        <f>_Salesdata[[#This Row],[Unit_Cost]] * _Salesdata[[#This Row],[Quantity_Sold]]</f>
        <v>45944.85</v>
      </c>
      <c r="Q267" s="2">
        <f>_Salesdata[[#This Row],[Gross_Sales]] - _Salesdata[[#This Row],[Total Cost]]</f>
        <v>1379</v>
      </c>
      <c r="R267" s="2"/>
    </row>
    <row r="268" spans="1:18" x14ac:dyDescent="0.25">
      <c r="A268">
        <v>1042</v>
      </c>
      <c r="B268" s="1">
        <v>45115</v>
      </c>
      <c r="C268" t="s">
        <v>24</v>
      </c>
      <c r="D268" t="s">
        <v>18</v>
      </c>
      <c r="E268" s="2">
        <v>5947.31</v>
      </c>
      <c r="F268">
        <v>23</v>
      </c>
      <c r="G268" t="s">
        <v>26</v>
      </c>
      <c r="H268" s="2">
        <v>1314</v>
      </c>
      <c r="I268" s="2">
        <v>1567.78</v>
      </c>
      <c r="J268" t="s">
        <v>20</v>
      </c>
      <c r="K268">
        <v>0.15</v>
      </c>
      <c r="L268" t="s">
        <v>28</v>
      </c>
      <c r="M268" t="s">
        <v>32</v>
      </c>
      <c r="N268" t="s">
        <v>46</v>
      </c>
      <c r="O268" s="2">
        <f>_Salesdata[[#This Row],[Unit_Price]] * _Salesdata[[#This Row],[Quantity_Sold]]</f>
        <v>36058.94</v>
      </c>
      <c r="P268" s="2">
        <f>_Salesdata[[#This Row],[Unit_Cost]] * _Salesdata[[#This Row],[Quantity_Sold]]</f>
        <v>30222</v>
      </c>
      <c r="Q268" s="2">
        <f>_Salesdata[[#This Row],[Gross_Sales]] - _Salesdata[[#This Row],[Total Cost]]</f>
        <v>5836.9400000000023</v>
      </c>
      <c r="R268" s="2"/>
    </row>
    <row r="269" spans="1:18" x14ac:dyDescent="0.25">
      <c r="A269">
        <v>1066</v>
      </c>
      <c r="B269" s="1">
        <v>45194</v>
      </c>
      <c r="C269" t="s">
        <v>48</v>
      </c>
      <c r="D269" t="s">
        <v>18</v>
      </c>
      <c r="E269" s="2">
        <v>7391.7</v>
      </c>
      <c r="F269">
        <v>47</v>
      </c>
      <c r="G269" t="s">
        <v>31</v>
      </c>
      <c r="H269" s="2">
        <v>1319.24</v>
      </c>
      <c r="I269" s="2">
        <v>1805.56</v>
      </c>
      <c r="J269" t="s">
        <v>27</v>
      </c>
      <c r="K269">
        <v>0.26</v>
      </c>
      <c r="L269" t="s">
        <v>28</v>
      </c>
      <c r="M269" t="s">
        <v>32</v>
      </c>
      <c r="N269" t="s">
        <v>54</v>
      </c>
      <c r="O269" s="2">
        <f>_Salesdata[[#This Row],[Unit_Price]] * _Salesdata[[#This Row],[Quantity_Sold]]</f>
        <v>84861.319999999992</v>
      </c>
      <c r="P269" s="2">
        <f>_Salesdata[[#This Row],[Unit_Cost]] * _Salesdata[[#This Row],[Quantity_Sold]]</f>
        <v>62004.28</v>
      </c>
      <c r="Q269" s="2">
        <f>_Salesdata[[#This Row],[Gross_Sales]] - _Salesdata[[#This Row],[Total Cost]]</f>
        <v>22857.039999999994</v>
      </c>
      <c r="R269" s="2"/>
    </row>
    <row r="270" spans="1:18" x14ac:dyDescent="0.25">
      <c r="A270">
        <v>1011</v>
      </c>
      <c r="B270" s="1">
        <v>44951</v>
      </c>
      <c r="C270" t="s">
        <v>48</v>
      </c>
      <c r="D270" t="s">
        <v>37</v>
      </c>
      <c r="E270" s="2">
        <v>2896.48</v>
      </c>
      <c r="F270">
        <v>22</v>
      </c>
      <c r="G270" t="s">
        <v>26</v>
      </c>
      <c r="H270" s="2">
        <v>1324.52</v>
      </c>
      <c r="I270" s="2">
        <v>1510.3</v>
      </c>
      <c r="J270" t="s">
        <v>20</v>
      </c>
      <c r="K270">
        <v>0.15</v>
      </c>
      <c r="L270" t="s">
        <v>21</v>
      </c>
      <c r="M270" t="s">
        <v>32</v>
      </c>
      <c r="N270" t="s">
        <v>52</v>
      </c>
      <c r="O270" s="2">
        <f>_Salesdata[[#This Row],[Unit_Price]] * _Salesdata[[#This Row],[Quantity_Sold]]</f>
        <v>33226.6</v>
      </c>
      <c r="P270" s="2">
        <f>_Salesdata[[#This Row],[Unit_Cost]] * _Salesdata[[#This Row],[Quantity_Sold]]</f>
        <v>29139.439999999999</v>
      </c>
      <c r="Q270" s="2">
        <f>_Salesdata[[#This Row],[Gross_Sales]] - _Salesdata[[#This Row],[Total Cost]]</f>
        <v>4087.16</v>
      </c>
      <c r="R270" s="2"/>
    </row>
    <row r="271" spans="1:18" x14ac:dyDescent="0.25">
      <c r="A271">
        <v>1001</v>
      </c>
      <c r="B271" s="1">
        <v>45043</v>
      </c>
      <c r="C271" t="s">
        <v>48</v>
      </c>
      <c r="D271" t="s">
        <v>18</v>
      </c>
      <c r="E271" s="2">
        <v>3167.09</v>
      </c>
      <c r="F271">
        <v>25</v>
      </c>
      <c r="G271" t="s">
        <v>26</v>
      </c>
      <c r="H271" s="2">
        <v>1330.62</v>
      </c>
      <c r="I271" s="2">
        <v>1543.6899999999901</v>
      </c>
      <c r="J271" t="s">
        <v>27</v>
      </c>
      <c r="K271">
        <v>0.27</v>
      </c>
      <c r="L271" t="s">
        <v>28</v>
      </c>
      <c r="M271" t="s">
        <v>22</v>
      </c>
      <c r="N271" t="s">
        <v>54</v>
      </c>
      <c r="O271" s="2">
        <f>_Salesdata[[#This Row],[Unit_Price]] * _Salesdata[[#This Row],[Quantity_Sold]]</f>
        <v>38592.249999999753</v>
      </c>
      <c r="P271" s="2">
        <f>_Salesdata[[#This Row],[Unit_Cost]] * _Salesdata[[#This Row],[Quantity_Sold]]</f>
        <v>33265.5</v>
      </c>
      <c r="Q271" s="2">
        <f>_Salesdata[[#This Row],[Gross_Sales]] - _Salesdata[[#This Row],[Total Cost]]</f>
        <v>5326.7499999997526</v>
      </c>
      <c r="R271" s="2"/>
    </row>
    <row r="272" spans="1:18" x14ac:dyDescent="0.25">
      <c r="A272">
        <v>1095</v>
      </c>
      <c r="B272" s="1">
        <v>45003</v>
      </c>
      <c r="C272" t="s">
        <v>48</v>
      </c>
      <c r="D272" t="s">
        <v>40</v>
      </c>
      <c r="E272" s="2">
        <v>8057.67</v>
      </c>
      <c r="F272">
        <v>43</v>
      </c>
      <c r="G272" t="s">
        <v>39</v>
      </c>
      <c r="H272" s="2">
        <v>1331.86</v>
      </c>
      <c r="I272" s="2">
        <v>1758.98</v>
      </c>
      <c r="J272" t="s">
        <v>20</v>
      </c>
      <c r="K272">
        <v>0.23</v>
      </c>
      <c r="L272" t="s">
        <v>44</v>
      </c>
      <c r="M272" t="s">
        <v>32</v>
      </c>
      <c r="N272" t="s">
        <v>50</v>
      </c>
      <c r="O272" s="2">
        <f>_Salesdata[[#This Row],[Unit_Price]] * _Salesdata[[#This Row],[Quantity_Sold]]</f>
        <v>75636.14</v>
      </c>
      <c r="P272" s="2">
        <f>_Salesdata[[#This Row],[Unit_Cost]] * _Salesdata[[#This Row],[Quantity_Sold]]</f>
        <v>57269.979999999996</v>
      </c>
      <c r="Q272" s="2">
        <f>_Salesdata[[#This Row],[Gross_Sales]] - _Salesdata[[#This Row],[Total Cost]]</f>
        <v>18366.160000000003</v>
      </c>
      <c r="R272" s="2"/>
    </row>
    <row r="273" spans="1:18" x14ac:dyDescent="0.25">
      <c r="A273">
        <v>1065</v>
      </c>
      <c r="B273" s="1">
        <v>45107</v>
      </c>
      <c r="C273" t="s">
        <v>48</v>
      </c>
      <c r="D273" t="s">
        <v>40</v>
      </c>
      <c r="E273" s="2">
        <v>8840.86</v>
      </c>
      <c r="F273">
        <v>13</v>
      </c>
      <c r="G273" t="s">
        <v>39</v>
      </c>
      <c r="H273" s="2">
        <v>1339</v>
      </c>
      <c r="I273" s="2">
        <v>1441.88</v>
      </c>
      <c r="J273" t="s">
        <v>20</v>
      </c>
      <c r="K273">
        <v>0.23</v>
      </c>
      <c r="L273" t="s">
        <v>28</v>
      </c>
      <c r="M273" t="s">
        <v>32</v>
      </c>
      <c r="N273" t="s">
        <v>50</v>
      </c>
      <c r="O273" s="2">
        <f>_Salesdata[[#This Row],[Unit_Price]] * _Salesdata[[#This Row],[Quantity_Sold]]</f>
        <v>18744.440000000002</v>
      </c>
      <c r="P273" s="2">
        <f>_Salesdata[[#This Row],[Unit_Cost]] * _Salesdata[[#This Row],[Quantity_Sold]]</f>
        <v>17407</v>
      </c>
      <c r="Q273" s="2">
        <f>_Salesdata[[#This Row],[Gross_Sales]] - _Salesdata[[#This Row],[Total Cost]]</f>
        <v>1337.4400000000023</v>
      </c>
      <c r="R273" s="2"/>
    </row>
    <row r="274" spans="1:18" x14ac:dyDescent="0.25">
      <c r="A274">
        <v>1019</v>
      </c>
      <c r="B274" s="1">
        <v>45275</v>
      </c>
      <c r="C274" t="s">
        <v>30</v>
      </c>
      <c r="D274" t="s">
        <v>18</v>
      </c>
      <c r="E274" s="2">
        <v>8902.3700000000008</v>
      </c>
      <c r="F274">
        <v>36</v>
      </c>
      <c r="G274" t="s">
        <v>19</v>
      </c>
      <c r="H274" s="2">
        <v>1340.51</v>
      </c>
      <c r="I274" s="2">
        <v>1567.92</v>
      </c>
      <c r="J274" t="s">
        <v>27</v>
      </c>
      <c r="K274">
        <v>0.28999999999999998</v>
      </c>
      <c r="L274" t="s">
        <v>21</v>
      </c>
      <c r="M274" t="s">
        <v>22</v>
      </c>
      <c r="N274" t="s">
        <v>33</v>
      </c>
      <c r="O274" s="2">
        <f>_Salesdata[[#This Row],[Unit_Price]] * _Salesdata[[#This Row],[Quantity_Sold]]</f>
        <v>56445.120000000003</v>
      </c>
      <c r="P274" s="2">
        <f>_Salesdata[[#This Row],[Unit_Cost]] * _Salesdata[[#This Row],[Quantity_Sold]]</f>
        <v>48258.36</v>
      </c>
      <c r="Q274" s="2">
        <f>_Salesdata[[#This Row],[Gross_Sales]] - _Salesdata[[#This Row],[Total Cost]]</f>
        <v>8186.760000000002</v>
      </c>
      <c r="R274" s="2"/>
    </row>
    <row r="275" spans="1:18" x14ac:dyDescent="0.25">
      <c r="A275">
        <v>1047</v>
      </c>
      <c r="B275" s="1">
        <v>45146</v>
      </c>
      <c r="C275" t="s">
        <v>30</v>
      </c>
      <c r="D275" t="s">
        <v>37</v>
      </c>
      <c r="E275" s="2">
        <v>1331.25</v>
      </c>
      <c r="F275">
        <v>33</v>
      </c>
      <c r="G275" t="s">
        <v>26</v>
      </c>
      <c r="H275" s="2">
        <v>1341.55</v>
      </c>
      <c r="I275" s="2">
        <v>1427.21</v>
      </c>
      <c r="J275" t="s">
        <v>20</v>
      </c>
      <c r="K275">
        <v>0.15</v>
      </c>
      <c r="L275" t="s">
        <v>28</v>
      </c>
      <c r="M275" t="s">
        <v>22</v>
      </c>
      <c r="N275" t="s">
        <v>51</v>
      </c>
      <c r="O275" s="2">
        <f>_Salesdata[[#This Row],[Unit_Price]] * _Salesdata[[#This Row],[Quantity_Sold]]</f>
        <v>47097.93</v>
      </c>
      <c r="P275" s="2">
        <f>_Salesdata[[#This Row],[Unit_Cost]] * _Salesdata[[#This Row],[Quantity_Sold]]</f>
        <v>44271.15</v>
      </c>
      <c r="Q275" s="2">
        <f>_Salesdata[[#This Row],[Gross_Sales]] - _Salesdata[[#This Row],[Total Cost]]</f>
        <v>2826.7799999999988</v>
      </c>
      <c r="R275" s="2"/>
    </row>
    <row r="276" spans="1:18" x14ac:dyDescent="0.25">
      <c r="A276">
        <v>1033</v>
      </c>
      <c r="B276" s="1">
        <v>44940</v>
      </c>
      <c r="C276" t="s">
        <v>24</v>
      </c>
      <c r="D276" t="s">
        <v>25</v>
      </c>
      <c r="E276" s="2">
        <v>1740.92</v>
      </c>
      <c r="F276">
        <v>24</v>
      </c>
      <c r="G276" t="s">
        <v>19</v>
      </c>
      <c r="H276" s="2">
        <v>1345.67</v>
      </c>
      <c r="I276" s="2">
        <v>1367.76</v>
      </c>
      <c r="J276" t="s">
        <v>27</v>
      </c>
      <c r="K276">
        <v>0.06</v>
      </c>
      <c r="L276" t="s">
        <v>44</v>
      </c>
      <c r="M276" t="s">
        <v>22</v>
      </c>
      <c r="N276" t="s">
        <v>29</v>
      </c>
      <c r="O276" s="2">
        <f>_Salesdata[[#This Row],[Unit_Price]] * _Salesdata[[#This Row],[Quantity_Sold]]</f>
        <v>32826.239999999998</v>
      </c>
      <c r="P276" s="2">
        <f>_Salesdata[[#This Row],[Unit_Cost]] * _Salesdata[[#This Row],[Quantity_Sold]]</f>
        <v>32296.080000000002</v>
      </c>
      <c r="Q276" s="2">
        <f>_Salesdata[[#This Row],[Gross_Sales]] - _Salesdata[[#This Row],[Total Cost]]</f>
        <v>530.15999999999622</v>
      </c>
      <c r="R276" s="2"/>
    </row>
    <row r="277" spans="1:18" x14ac:dyDescent="0.25">
      <c r="A277">
        <v>1082</v>
      </c>
      <c r="B277" s="1">
        <v>45072</v>
      </c>
      <c r="C277" t="s">
        <v>30</v>
      </c>
      <c r="D277" t="s">
        <v>40</v>
      </c>
      <c r="E277" s="2">
        <v>6994.66</v>
      </c>
      <c r="F277">
        <v>2</v>
      </c>
      <c r="G277" t="s">
        <v>39</v>
      </c>
      <c r="H277" s="2">
        <v>1349.3</v>
      </c>
      <c r="I277" s="2">
        <v>1576.69</v>
      </c>
      <c r="J277" t="s">
        <v>20</v>
      </c>
      <c r="K277">
        <v>0.12</v>
      </c>
      <c r="L277" t="s">
        <v>28</v>
      </c>
      <c r="M277" t="s">
        <v>22</v>
      </c>
      <c r="N277" t="s">
        <v>41</v>
      </c>
      <c r="O277" s="2">
        <f>_Salesdata[[#This Row],[Unit_Price]] * _Salesdata[[#This Row],[Quantity_Sold]]</f>
        <v>3153.38</v>
      </c>
      <c r="P277" s="2">
        <f>_Salesdata[[#This Row],[Unit_Cost]] * _Salesdata[[#This Row],[Quantity_Sold]]</f>
        <v>2698.6</v>
      </c>
      <c r="Q277" s="2">
        <f>_Salesdata[[#This Row],[Gross_Sales]] - _Salesdata[[#This Row],[Total Cost]]</f>
        <v>454.7800000000002</v>
      </c>
      <c r="R277" s="2"/>
    </row>
    <row r="278" spans="1:18" x14ac:dyDescent="0.25">
      <c r="A278">
        <v>1090</v>
      </c>
      <c r="B278" s="1">
        <v>45124</v>
      </c>
      <c r="C278" t="s">
        <v>30</v>
      </c>
      <c r="D278" t="s">
        <v>37</v>
      </c>
      <c r="E278" s="2">
        <v>5076.05</v>
      </c>
      <c r="F278">
        <v>14</v>
      </c>
      <c r="G278" t="s">
        <v>26</v>
      </c>
      <c r="H278" s="2">
        <v>1350.47</v>
      </c>
      <c r="I278" s="2">
        <v>1514.61</v>
      </c>
      <c r="J278" t="s">
        <v>27</v>
      </c>
      <c r="K278">
        <v>0.2</v>
      </c>
      <c r="L278" t="s">
        <v>28</v>
      </c>
      <c r="M278" t="s">
        <v>32</v>
      </c>
      <c r="N278" t="s">
        <v>51</v>
      </c>
      <c r="O278" s="2">
        <f>_Salesdata[[#This Row],[Unit_Price]] * _Salesdata[[#This Row],[Quantity_Sold]]</f>
        <v>21204.539999999997</v>
      </c>
      <c r="P278" s="2">
        <f>_Salesdata[[#This Row],[Unit_Cost]] * _Salesdata[[#This Row],[Quantity_Sold]]</f>
        <v>18906.580000000002</v>
      </c>
      <c r="Q278" s="2">
        <f>_Salesdata[[#This Row],[Gross_Sales]] - _Salesdata[[#This Row],[Total Cost]]</f>
        <v>2297.9599999999955</v>
      </c>
      <c r="R278" s="2"/>
    </row>
    <row r="279" spans="1:18" x14ac:dyDescent="0.25">
      <c r="A279">
        <v>1081</v>
      </c>
      <c r="B279" s="1">
        <v>45032</v>
      </c>
      <c r="C279" t="s">
        <v>35</v>
      </c>
      <c r="D279" t="s">
        <v>25</v>
      </c>
      <c r="E279" s="2">
        <v>2896.71</v>
      </c>
      <c r="F279">
        <v>44</v>
      </c>
      <c r="G279" t="s">
        <v>26</v>
      </c>
      <c r="H279" s="2">
        <v>1362.15</v>
      </c>
      <c r="I279" s="2">
        <v>1844.07</v>
      </c>
      <c r="J279" t="s">
        <v>27</v>
      </c>
      <c r="K279">
        <v>0.28999999999999998</v>
      </c>
      <c r="L279" t="s">
        <v>28</v>
      </c>
      <c r="M279" t="s">
        <v>22</v>
      </c>
      <c r="N279" t="s">
        <v>56</v>
      </c>
      <c r="O279" s="2">
        <f>_Salesdata[[#This Row],[Unit_Price]] * _Salesdata[[#This Row],[Quantity_Sold]]</f>
        <v>81139.08</v>
      </c>
      <c r="P279" s="2">
        <f>_Salesdata[[#This Row],[Unit_Cost]] * _Salesdata[[#This Row],[Quantity_Sold]]</f>
        <v>59934.600000000006</v>
      </c>
      <c r="Q279" s="2">
        <f>_Salesdata[[#This Row],[Gross_Sales]] - _Salesdata[[#This Row],[Total Cost]]</f>
        <v>21204.479999999996</v>
      </c>
      <c r="R279" s="2"/>
    </row>
    <row r="280" spans="1:18" x14ac:dyDescent="0.25">
      <c r="A280">
        <v>1019</v>
      </c>
      <c r="B280" s="1">
        <v>45240</v>
      </c>
      <c r="C280" t="s">
        <v>17</v>
      </c>
      <c r="D280" t="s">
        <v>18</v>
      </c>
      <c r="E280" s="2">
        <v>7632.43</v>
      </c>
      <c r="F280">
        <v>33</v>
      </c>
      <c r="G280" t="s">
        <v>39</v>
      </c>
      <c r="H280" s="2">
        <v>1362.31</v>
      </c>
      <c r="I280" s="2">
        <v>1486.29</v>
      </c>
      <c r="J280" t="s">
        <v>20</v>
      </c>
      <c r="K280">
        <v>0.18</v>
      </c>
      <c r="L280" t="s">
        <v>28</v>
      </c>
      <c r="M280" t="s">
        <v>32</v>
      </c>
      <c r="N280" t="s">
        <v>23</v>
      </c>
      <c r="O280" s="2">
        <f>_Salesdata[[#This Row],[Unit_Price]] * _Salesdata[[#This Row],[Quantity_Sold]]</f>
        <v>49047.57</v>
      </c>
      <c r="P280" s="2">
        <f>_Salesdata[[#This Row],[Unit_Cost]] * _Salesdata[[#This Row],[Quantity_Sold]]</f>
        <v>44956.229999999996</v>
      </c>
      <c r="Q280" s="2">
        <f>_Salesdata[[#This Row],[Gross_Sales]] - _Salesdata[[#This Row],[Total Cost]]</f>
        <v>4091.3400000000038</v>
      </c>
      <c r="R280" s="2"/>
    </row>
    <row r="281" spans="1:18" x14ac:dyDescent="0.25">
      <c r="A281">
        <v>1018</v>
      </c>
      <c r="B281" s="1">
        <v>45292</v>
      </c>
      <c r="C281" t="s">
        <v>24</v>
      </c>
      <c r="D281" t="s">
        <v>25</v>
      </c>
      <c r="E281" s="2">
        <v>8579.7199999999993</v>
      </c>
      <c r="F281">
        <v>24</v>
      </c>
      <c r="G281" t="s">
        <v>26</v>
      </c>
      <c r="H281" s="2">
        <v>1362.78</v>
      </c>
      <c r="I281" s="2">
        <v>1729.81</v>
      </c>
      <c r="J281" t="s">
        <v>27</v>
      </c>
      <c r="K281">
        <v>0.28999999999999998</v>
      </c>
      <c r="L281" t="s">
        <v>44</v>
      </c>
      <c r="M281" t="s">
        <v>22</v>
      </c>
      <c r="N281" t="s">
        <v>29</v>
      </c>
      <c r="O281" s="2">
        <f>_Salesdata[[#This Row],[Unit_Price]] * _Salesdata[[#This Row],[Quantity_Sold]]</f>
        <v>41515.440000000002</v>
      </c>
      <c r="P281" s="2">
        <f>_Salesdata[[#This Row],[Unit_Cost]] * _Salesdata[[#This Row],[Quantity_Sold]]</f>
        <v>32706.720000000001</v>
      </c>
      <c r="Q281" s="2">
        <f>_Salesdata[[#This Row],[Gross_Sales]] - _Salesdata[[#This Row],[Total Cost]]</f>
        <v>8808.7200000000012</v>
      </c>
      <c r="R281" s="2"/>
    </row>
    <row r="282" spans="1:18" x14ac:dyDescent="0.25">
      <c r="A282">
        <v>1061</v>
      </c>
      <c r="B282" s="1">
        <v>45282</v>
      </c>
      <c r="C282" t="s">
        <v>24</v>
      </c>
      <c r="D282" t="s">
        <v>37</v>
      </c>
      <c r="E282" s="2">
        <v>1990.17</v>
      </c>
      <c r="F282">
        <v>45</v>
      </c>
      <c r="G282" t="s">
        <v>19</v>
      </c>
      <c r="H282" s="2">
        <v>1364.51</v>
      </c>
      <c r="I282" s="2">
        <v>1844.8</v>
      </c>
      <c r="J282" t="s">
        <v>20</v>
      </c>
      <c r="K282">
        <v>0.18</v>
      </c>
      <c r="L282" t="s">
        <v>21</v>
      </c>
      <c r="M282" t="s">
        <v>22</v>
      </c>
      <c r="N282" t="s">
        <v>53</v>
      </c>
      <c r="O282" s="2">
        <f>_Salesdata[[#This Row],[Unit_Price]] * _Salesdata[[#This Row],[Quantity_Sold]]</f>
        <v>83016</v>
      </c>
      <c r="P282" s="2">
        <f>_Salesdata[[#This Row],[Unit_Cost]] * _Salesdata[[#This Row],[Quantity_Sold]]</f>
        <v>61402.95</v>
      </c>
      <c r="Q282" s="2">
        <f>_Salesdata[[#This Row],[Gross_Sales]] - _Salesdata[[#This Row],[Total Cost]]</f>
        <v>21613.050000000003</v>
      </c>
      <c r="R282" s="2"/>
    </row>
    <row r="283" spans="1:18" x14ac:dyDescent="0.25">
      <c r="A283">
        <v>1030</v>
      </c>
      <c r="B283" s="1">
        <v>45245</v>
      </c>
      <c r="C283" t="s">
        <v>48</v>
      </c>
      <c r="D283" t="s">
        <v>18</v>
      </c>
      <c r="E283" s="2">
        <v>6951.53</v>
      </c>
      <c r="F283">
        <v>24</v>
      </c>
      <c r="G283" t="s">
        <v>19</v>
      </c>
      <c r="H283" s="2">
        <v>1370.52</v>
      </c>
      <c r="I283" s="2">
        <v>1482.58</v>
      </c>
      <c r="J283" t="s">
        <v>20</v>
      </c>
      <c r="K283">
        <v>0.2</v>
      </c>
      <c r="L283" t="s">
        <v>28</v>
      </c>
      <c r="M283" t="s">
        <v>32</v>
      </c>
      <c r="N283" t="s">
        <v>54</v>
      </c>
      <c r="O283" s="2">
        <f>_Salesdata[[#This Row],[Unit_Price]] * _Salesdata[[#This Row],[Quantity_Sold]]</f>
        <v>35581.919999999998</v>
      </c>
      <c r="P283" s="2">
        <f>_Salesdata[[#This Row],[Unit_Cost]] * _Salesdata[[#This Row],[Quantity_Sold]]</f>
        <v>32892.479999999996</v>
      </c>
      <c r="Q283" s="2">
        <f>_Salesdata[[#This Row],[Gross_Sales]] - _Salesdata[[#This Row],[Total Cost]]</f>
        <v>2689.4400000000023</v>
      </c>
      <c r="R283" s="2"/>
    </row>
    <row r="284" spans="1:18" x14ac:dyDescent="0.25">
      <c r="A284">
        <v>1001</v>
      </c>
      <c r="B284" s="1">
        <v>45282</v>
      </c>
      <c r="C284" t="s">
        <v>30</v>
      </c>
      <c r="D284" t="s">
        <v>25</v>
      </c>
      <c r="E284" s="2">
        <v>8803.94</v>
      </c>
      <c r="F284">
        <v>45</v>
      </c>
      <c r="G284" t="s">
        <v>19</v>
      </c>
      <c r="H284" s="2">
        <v>1372.36</v>
      </c>
      <c r="I284" s="2">
        <v>1687.83</v>
      </c>
      <c r="J284" t="s">
        <v>27</v>
      </c>
      <c r="K284">
        <v>0.02</v>
      </c>
      <c r="L284" t="s">
        <v>28</v>
      </c>
      <c r="M284" t="s">
        <v>22</v>
      </c>
      <c r="N284" t="s">
        <v>45</v>
      </c>
      <c r="O284" s="2">
        <f>_Salesdata[[#This Row],[Unit_Price]] * _Salesdata[[#This Row],[Quantity_Sold]]</f>
        <v>75952.349999999991</v>
      </c>
      <c r="P284" s="2">
        <f>_Salesdata[[#This Row],[Unit_Cost]] * _Salesdata[[#This Row],[Quantity_Sold]]</f>
        <v>61756.2</v>
      </c>
      <c r="Q284" s="2">
        <f>_Salesdata[[#This Row],[Gross_Sales]] - _Salesdata[[#This Row],[Total Cost]]</f>
        <v>14196.149999999994</v>
      </c>
      <c r="R284" s="2"/>
    </row>
    <row r="285" spans="1:18" x14ac:dyDescent="0.25">
      <c r="A285">
        <v>1013</v>
      </c>
      <c r="B285" s="1">
        <v>45031</v>
      </c>
      <c r="C285" t="s">
        <v>48</v>
      </c>
      <c r="D285" t="s">
        <v>37</v>
      </c>
      <c r="E285" s="2">
        <v>7255.1</v>
      </c>
      <c r="F285">
        <v>42</v>
      </c>
      <c r="G285" t="s">
        <v>39</v>
      </c>
      <c r="H285" s="2">
        <v>1375.57</v>
      </c>
      <c r="I285" s="2">
        <v>1729.71</v>
      </c>
      <c r="J285" t="s">
        <v>27</v>
      </c>
      <c r="K285">
        <v>0.04</v>
      </c>
      <c r="L285" t="s">
        <v>21</v>
      </c>
      <c r="M285" t="s">
        <v>22</v>
      </c>
      <c r="N285" t="s">
        <v>52</v>
      </c>
      <c r="O285" s="2">
        <f>_Salesdata[[#This Row],[Unit_Price]] * _Salesdata[[#This Row],[Quantity_Sold]]</f>
        <v>72647.820000000007</v>
      </c>
      <c r="P285" s="2">
        <f>_Salesdata[[#This Row],[Unit_Cost]] * _Salesdata[[#This Row],[Quantity_Sold]]</f>
        <v>57773.939999999995</v>
      </c>
      <c r="Q285" s="2">
        <f>_Salesdata[[#This Row],[Gross_Sales]] - _Salesdata[[#This Row],[Total Cost]]</f>
        <v>14873.880000000012</v>
      </c>
      <c r="R285" s="2"/>
    </row>
    <row r="286" spans="1:18" x14ac:dyDescent="0.25">
      <c r="A286">
        <v>1005</v>
      </c>
      <c r="B286" s="1">
        <v>45071</v>
      </c>
      <c r="C286" t="s">
        <v>48</v>
      </c>
      <c r="D286" t="s">
        <v>37</v>
      </c>
      <c r="E286" s="2">
        <v>833.64</v>
      </c>
      <c r="F286">
        <v>2</v>
      </c>
      <c r="G286" t="s">
        <v>19</v>
      </c>
      <c r="H286" s="2">
        <v>1392.15</v>
      </c>
      <c r="I286" s="2">
        <v>1448.54</v>
      </c>
      <c r="J286" t="s">
        <v>20</v>
      </c>
      <c r="K286">
        <v>0.02</v>
      </c>
      <c r="L286" t="s">
        <v>44</v>
      </c>
      <c r="M286" t="s">
        <v>32</v>
      </c>
      <c r="N286" t="s">
        <v>52</v>
      </c>
      <c r="O286" s="2">
        <f>_Salesdata[[#This Row],[Unit_Price]] * _Salesdata[[#This Row],[Quantity_Sold]]</f>
        <v>2897.08</v>
      </c>
      <c r="P286" s="2">
        <f>_Salesdata[[#This Row],[Unit_Cost]] * _Salesdata[[#This Row],[Quantity_Sold]]</f>
        <v>2784.3</v>
      </c>
      <c r="Q286" s="2">
        <f>_Salesdata[[#This Row],[Gross_Sales]] - _Salesdata[[#This Row],[Total Cost]]</f>
        <v>112.77999999999975</v>
      </c>
      <c r="R286" s="2"/>
    </row>
    <row r="287" spans="1:18" x14ac:dyDescent="0.25">
      <c r="A287">
        <v>1002</v>
      </c>
      <c r="B287" s="1">
        <v>45076</v>
      </c>
      <c r="C287" t="s">
        <v>48</v>
      </c>
      <c r="D287" t="s">
        <v>37</v>
      </c>
      <c r="E287" s="2">
        <v>3737.17</v>
      </c>
      <c r="F287">
        <v>44</v>
      </c>
      <c r="G287" t="s">
        <v>39</v>
      </c>
      <c r="H287" s="2">
        <v>1393.58</v>
      </c>
      <c r="I287" s="2">
        <v>1533.09</v>
      </c>
      <c r="J287" t="s">
        <v>20</v>
      </c>
      <c r="K287">
        <v>0.24</v>
      </c>
      <c r="L287" t="s">
        <v>28</v>
      </c>
      <c r="M287" t="s">
        <v>32</v>
      </c>
      <c r="N287" t="s">
        <v>52</v>
      </c>
      <c r="O287" s="2">
        <f>_Salesdata[[#This Row],[Unit_Price]] * _Salesdata[[#This Row],[Quantity_Sold]]</f>
        <v>67455.959999999992</v>
      </c>
      <c r="P287" s="2">
        <f>_Salesdata[[#This Row],[Unit_Cost]] * _Salesdata[[#This Row],[Quantity_Sold]]</f>
        <v>61317.52</v>
      </c>
      <c r="Q287" s="2">
        <f>_Salesdata[[#This Row],[Gross_Sales]] - _Salesdata[[#This Row],[Total Cost]]</f>
        <v>6138.4399999999951</v>
      </c>
      <c r="R287" s="2"/>
    </row>
    <row r="288" spans="1:18" x14ac:dyDescent="0.25">
      <c r="A288">
        <v>1008</v>
      </c>
      <c r="B288" s="1">
        <v>45091</v>
      </c>
      <c r="C288" t="s">
        <v>48</v>
      </c>
      <c r="D288" t="s">
        <v>37</v>
      </c>
      <c r="E288" s="2">
        <v>1403.98</v>
      </c>
      <c r="F288">
        <v>24</v>
      </c>
      <c r="G288" t="s">
        <v>19</v>
      </c>
      <c r="H288" s="2">
        <v>1394.17</v>
      </c>
      <c r="I288" s="2">
        <v>1891.02</v>
      </c>
      <c r="J288" t="s">
        <v>27</v>
      </c>
      <c r="K288">
        <v>0.21</v>
      </c>
      <c r="L288" t="s">
        <v>28</v>
      </c>
      <c r="M288" t="s">
        <v>22</v>
      </c>
      <c r="N288" t="s">
        <v>52</v>
      </c>
      <c r="O288" s="2">
        <f>_Salesdata[[#This Row],[Unit_Price]] * _Salesdata[[#This Row],[Quantity_Sold]]</f>
        <v>45384.479999999996</v>
      </c>
      <c r="P288" s="2">
        <f>_Salesdata[[#This Row],[Unit_Cost]] * _Salesdata[[#This Row],[Quantity_Sold]]</f>
        <v>33460.080000000002</v>
      </c>
      <c r="Q288" s="2">
        <f>_Salesdata[[#This Row],[Gross_Sales]] - _Salesdata[[#This Row],[Total Cost]]</f>
        <v>11924.399999999994</v>
      </c>
      <c r="R288" s="2"/>
    </row>
    <row r="289" spans="1:18" x14ac:dyDescent="0.25">
      <c r="A289">
        <v>1074</v>
      </c>
      <c r="B289" s="1">
        <v>44930</v>
      </c>
      <c r="C289" t="s">
        <v>48</v>
      </c>
      <c r="D289" t="s">
        <v>40</v>
      </c>
      <c r="E289" s="2">
        <v>7508.72</v>
      </c>
      <c r="F289">
        <v>38</v>
      </c>
      <c r="G289" t="s">
        <v>39</v>
      </c>
      <c r="H289" s="2">
        <v>1394.74</v>
      </c>
      <c r="I289" s="2">
        <v>1848.69</v>
      </c>
      <c r="J289" t="s">
        <v>20</v>
      </c>
      <c r="K289">
        <v>0</v>
      </c>
      <c r="L289" t="s">
        <v>44</v>
      </c>
      <c r="M289" t="s">
        <v>32</v>
      </c>
      <c r="N289" t="s">
        <v>50</v>
      </c>
      <c r="O289" s="2">
        <f>_Salesdata[[#This Row],[Unit_Price]] * _Salesdata[[#This Row],[Quantity_Sold]]</f>
        <v>70250.22</v>
      </c>
      <c r="P289" s="2">
        <f>_Salesdata[[#This Row],[Unit_Cost]] * _Salesdata[[#This Row],[Quantity_Sold]]</f>
        <v>53000.12</v>
      </c>
      <c r="Q289" s="2">
        <f>_Salesdata[[#This Row],[Gross_Sales]] - _Salesdata[[#This Row],[Total Cost]]</f>
        <v>17250.099999999999</v>
      </c>
      <c r="R289" s="2"/>
    </row>
    <row r="290" spans="1:18" x14ac:dyDescent="0.25">
      <c r="A290">
        <v>1042</v>
      </c>
      <c r="B290" s="1">
        <v>45072</v>
      </c>
      <c r="C290" t="s">
        <v>17</v>
      </c>
      <c r="D290" t="s">
        <v>18</v>
      </c>
      <c r="E290" s="2">
        <v>848.28</v>
      </c>
      <c r="F290">
        <v>1</v>
      </c>
      <c r="G290" t="s">
        <v>26</v>
      </c>
      <c r="H290" s="2">
        <v>1406.24</v>
      </c>
      <c r="I290" s="2">
        <v>1535.57</v>
      </c>
      <c r="J290" t="s">
        <v>27</v>
      </c>
      <c r="K290">
        <v>0.08</v>
      </c>
      <c r="L290" t="s">
        <v>28</v>
      </c>
      <c r="M290" t="s">
        <v>32</v>
      </c>
      <c r="N290" t="s">
        <v>23</v>
      </c>
      <c r="O290" s="2">
        <f>_Salesdata[[#This Row],[Unit_Price]] * _Salesdata[[#This Row],[Quantity_Sold]]</f>
        <v>1535.57</v>
      </c>
      <c r="P290" s="2">
        <f>_Salesdata[[#This Row],[Unit_Cost]] * _Salesdata[[#This Row],[Quantity_Sold]]</f>
        <v>1406.24</v>
      </c>
      <c r="Q290" s="2">
        <f>_Salesdata[[#This Row],[Gross_Sales]] - _Salesdata[[#This Row],[Total Cost]]</f>
        <v>129.32999999999993</v>
      </c>
      <c r="R290" s="2"/>
    </row>
    <row r="291" spans="1:18" x14ac:dyDescent="0.25">
      <c r="A291">
        <v>1079</v>
      </c>
      <c r="B291" s="1">
        <v>45144</v>
      </c>
      <c r="C291" t="s">
        <v>30</v>
      </c>
      <c r="D291" t="s">
        <v>37</v>
      </c>
      <c r="E291" s="2">
        <v>1107.8599999999999</v>
      </c>
      <c r="F291">
        <v>45</v>
      </c>
      <c r="G291" t="s">
        <v>19</v>
      </c>
      <c r="H291" s="2">
        <v>1406.9</v>
      </c>
      <c r="I291" s="2">
        <v>1547.35</v>
      </c>
      <c r="J291" t="s">
        <v>27</v>
      </c>
      <c r="K291">
        <v>0.17</v>
      </c>
      <c r="L291" t="s">
        <v>21</v>
      </c>
      <c r="M291" t="s">
        <v>32</v>
      </c>
      <c r="N291" t="s">
        <v>51</v>
      </c>
      <c r="O291" s="2">
        <f>_Salesdata[[#This Row],[Unit_Price]] * _Salesdata[[#This Row],[Quantity_Sold]]</f>
        <v>69630.75</v>
      </c>
      <c r="P291" s="2">
        <f>_Salesdata[[#This Row],[Unit_Cost]] * _Salesdata[[#This Row],[Quantity_Sold]]</f>
        <v>63310.500000000007</v>
      </c>
      <c r="Q291" s="2">
        <f>_Salesdata[[#This Row],[Gross_Sales]] - _Salesdata[[#This Row],[Total Cost]]</f>
        <v>6320.2499999999927</v>
      </c>
      <c r="R291" s="2"/>
    </row>
    <row r="292" spans="1:18" x14ac:dyDescent="0.25">
      <c r="A292">
        <v>1081</v>
      </c>
      <c r="B292" s="1">
        <v>45227</v>
      </c>
      <c r="C292" t="s">
        <v>35</v>
      </c>
      <c r="D292" t="s">
        <v>37</v>
      </c>
      <c r="E292" s="2">
        <v>5571.36</v>
      </c>
      <c r="F292">
        <v>23</v>
      </c>
      <c r="G292" t="s">
        <v>31</v>
      </c>
      <c r="H292" s="2">
        <v>1411.37</v>
      </c>
      <c r="I292" s="2">
        <v>1675.35</v>
      </c>
      <c r="J292" t="s">
        <v>27</v>
      </c>
      <c r="K292">
        <v>0.21</v>
      </c>
      <c r="L292" t="s">
        <v>21</v>
      </c>
      <c r="M292" t="s">
        <v>32</v>
      </c>
      <c r="N292" t="s">
        <v>38</v>
      </c>
      <c r="O292" s="2">
        <f>_Salesdata[[#This Row],[Unit_Price]] * _Salesdata[[#This Row],[Quantity_Sold]]</f>
        <v>38533.049999999996</v>
      </c>
      <c r="P292" s="2">
        <f>_Salesdata[[#This Row],[Unit_Cost]] * _Salesdata[[#This Row],[Quantity_Sold]]</f>
        <v>32461.51</v>
      </c>
      <c r="Q292" s="2">
        <f>_Salesdata[[#This Row],[Gross_Sales]] - _Salesdata[[#This Row],[Total Cost]]</f>
        <v>6071.5399999999972</v>
      </c>
      <c r="R292" s="2"/>
    </row>
    <row r="293" spans="1:18" x14ac:dyDescent="0.25">
      <c r="A293">
        <v>1033</v>
      </c>
      <c r="B293" s="1">
        <v>45153</v>
      </c>
      <c r="C293" t="s">
        <v>48</v>
      </c>
      <c r="D293" t="s">
        <v>18</v>
      </c>
      <c r="E293" s="2">
        <v>3953.38</v>
      </c>
      <c r="F293">
        <v>29</v>
      </c>
      <c r="G293" t="s">
        <v>19</v>
      </c>
      <c r="H293" s="2">
        <v>1412.09</v>
      </c>
      <c r="I293" s="2">
        <v>1596.6499999999901</v>
      </c>
      <c r="J293" t="s">
        <v>20</v>
      </c>
      <c r="K293">
        <v>7.0000000000000007E-2</v>
      </c>
      <c r="L293" t="s">
        <v>21</v>
      </c>
      <c r="M293" t="s">
        <v>22</v>
      </c>
      <c r="N293" t="s">
        <v>54</v>
      </c>
      <c r="O293" s="2">
        <f>_Salesdata[[#This Row],[Unit_Price]] * _Salesdata[[#This Row],[Quantity_Sold]]</f>
        <v>46302.849999999715</v>
      </c>
      <c r="P293" s="2">
        <f>_Salesdata[[#This Row],[Unit_Cost]] * _Salesdata[[#This Row],[Quantity_Sold]]</f>
        <v>40950.61</v>
      </c>
      <c r="Q293" s="2">
        <f>_Salesdata[[#This Row],[Gross_Sales]] - _Salesdata[[#This Row],[Total Cost]]</f>
        <v>5352.2399999997142</v>
      </c>
      <c r="R293" s="2"/>
    </row>
    <row r="294" spans="1:18" x14ac:dyDescent="0.25">
      <c r="A294">
        <v>1012</v>
      </c>
      <c r="B294" s="1">
        <v>45185</v>
      </c>
      <c r="C294" t="s">
        <v>30</v>
      </c>
      <c r="D294" t="s">
        <v>40</v>
      </c>
      <c r="E294" s="2">
        <v>1916.08</v>
      </c>
      <c r="F294">
        <v>19</v>
      </c>
      <c r="G294" t="s">
        <v>26</v>
      </c>
      <c r="H294" s="2">
        <v>1427.42</v>
      </c>
      <c r="I294" s="2">
        <v>1763.69</v>
      </c>
      <c r="J294" t="s">
        <v>27</v>
      </c>
      <c r="K294">
        <v>0.03</v>
      </c>
      <c r="L294" t="s">
        <v>21</v>
      </c>
      <c r="M294" t="s">
        <v>32</v>
      </c>
      <c r="N294" t="s">
        <v>41</v>
      </c>
      <c r="O294" s="2">
        <f>_Salesdata[[#This Row],[Unit_Price]] * _Salesdata[[#This Row],[Quantity_Sold]]</f>
        <v>33510.11</v>
      </c>
      <c r="P294" s="2">
        <f>_Salesdata[[#This Row],[Unit_Cost]] * _Salesdata[[#This Row],[Quantity_Sold]]</f>
        <v>27120.980000000003</v>
      </c>
      <c r="Q294" s="2">
        <f>_Salesdata[[#This Row],[Gross_Sales]] - _Salesdata[[#This Row],[Total Cost]]</f>
        <v>6389.1299999999974</v>
      </c>
      <c r="R294" s="2"/>
    </row>
    <row r="295" spans="1:18" x14ac:dyDescent="0.25">
      <c r="A295">
        <v>1069</v>
      </c>
      <c r="B295" s="1">
        <v>45080</v>
      </c>
      <c r="C295" t="s">
        <v>30</v>
      </c>
      <c r="D295" t="s">
        <v>25</v>
      </c>
      <c r="E295" s="2">
        <v>6581.04</v>
      </c>
      <c r="F295">
        <v>42</v>
      </c>
      <c r="G295" t="s">
        <v>19</v>
      </c>
      <c r="H295" s="2">
        <v>1434.2</v>
      </c>
      <c r="I295" s="2">
        <v>1482.88</v>
      </c>
      <c r="J295" t="s">
        <v>27</v>
      </c>
      <c r="K295">
        <v>0.28000000000000003</v>
      </c>
      <c r="L295" t="s">
        <v>28</v>
      </c>
      <c r="M295" t="s">
        <v>32</v>
      </c>
      <c r="N295" t="s">
        <v>45</v>
      </c>
      <c r="O295" s="2">
        <f>_Salesdata[[#This Row],[Unit_Price]] * _Salesdata[[#This Row],[Quantity_Sold]]</f>
        <v>62280.960000000006</v>
      </c>
      <c r="P295" s="2">
        <f>_Salesdata[[#This Row],[Unit_Cost]] * _Salesdata[[#This Row],[Quantity_Sold]]</f>
        <v>60236.4</v>
      </c>
      <c r="Q295" s="2">
        <f>_Salesdata[[#This Row],[Gross_Sales]] - _Salesdata[[#This Row],[Total Cost]]</f>
        <v>2044.5600000000049</v>
      </c>
      <c r="R295" s="2"/>
    </row>
    <row r="296" spans="1:18" x14ac:dyDescent="0.25">
      <c r="A296">
        <v>1011</v>
      </c>
      <c r="B296" s="1">
        <v>45263</v>
      </c>
      <c r="C296" t="s">
        <v>17</v>
      </c>
      <c r="D296" t="s">
        <v>18</v>
      </c>
      <c r="E296" s="2">
        <v>8186.12</v>
      </c>
      <c r="F296">
        <v>13</v>
      </c>
      <c r="G296" t="s">
        <v>26</v>
      </c>
      <c r="H296" s="2">
        <v>1442.69</v>
      </c>
      <c r="I296" s="2">
        <v>1882.57</v>
      </c>
      <c r="J296" t="s">
        <v>20</v>
      </c>
      <c r="K296">
        <v>0.28000000000000003</v>
      </c>
      <c r="L296" t="s">
        <v>21</v>
      </c>
      <c r="M296" t="s">
        <v>22</v>
      </c>
      <c r="N296" t="s">
        <v>23</v>
      </c>
      <c r="O296" s="2">
        <f>_Salesdata[[#This Row],[Unit_Price]] * _Salesdata[[#This Row],[Quantity_Sold]]</f>
        <v>24473.41</v>
      </c>
      <c r="P296" s="2">
        <f>_Salesdata[[#This Row],[Unit_Cost]] * _Salesdata[[#This Row],[Quantity_Sold]]</f>
        <v>18754.97</v>
      </c>
      <c r="Q296" s="2">
        <f>_Salesdata[[#This Row],[Gross_Sales]] - _Salesdata[[#This Row],[Total Cost]]</f>
        <v>5718.4399999999987</v>
      </c>
      <c r="R296" s="2"/>
    </row>
    <row r="297" spans="1:18" x14ac:dyDescent="0.25">
      <c r="A297">
        <v>1092</v>
      </c>
      <c r="B297" s="1">
        <v>45094</v>
      </c>
      <c r="C297" t="s">
        <v>24</v>
      </c>
      <c r="D297" t="s">
        <v>18</v>
      </c>
      <c r="E297" s="2">
        <v>1632.8</v>
      </c>
      <c r="F297">
        <v>47</v>
      </c>
      <c r="G297" t="s">
        <v>39</v>
      </c>
      <c r="H297" s="2">
        <v>1447.45</v>
      </c>
      <c r="I297" s="2">
        <v>1703.02</v>
      </c>
      <c r="J297" t="s">
        <v>20</v>
      </c>
      <c r="K297">
        <v>0.12</v>
      </c>
      <c r="L297" t="s">
        <v>44</v>
      </c>
      <c r="M297" t="s">
        <v>32</v>
      </c>
      <c r="N297" t="s">
        <v>46</v>
      </c>
      <c r="O297" s="2">
        <f>_Salesdata[[#This Row],[Unit_Price]] * _Salesdata[[#This Row],[Quantity_Sold]]</f>
        <v>80041.94</v>
      </c>
      <c r="P297" s="2">
        <f>_Salesdata[[#This Row],[Unit_Cost]] * _Salesdata[[#This Row],[Quantity_Sold]]</f>
        <v>68030.150000000009</v>
      </c>
      <c r="Q297" s="2">
        <f>_Salesdata[[#This Row],[Gross_Sales]] - _Salesdata[[#This Row],[Total Cost]]</f>
        <v>12011.789999999994</v>
      </c>
      <c r="R297" s="2"/>
    </row>
    <row r="298" spans="1:18" x14ac:dyDescent="0.25">
      <c r="A298">
        <v>1071</v>
      </c>
      <c r="B298" s="1">
        <v>45287</v>
      </c>
      <c r="C298" t="s">
        <v>30</v>
      </c>
      <c r="D298" t="s">
        <v>18</v>
      </c>
      <c r="E298" s="2">
        <v>4752.88</v>
      </c>
      <c r="F298">
        <v>40</v>
      </c>
      <c r="G298" t="s">
        <v>31</v>
      </c>
      <c r="H298" s="2">
        <v>1447.72</v>
      </c>
      <c r="I298" s="2">
        <v>1875.75</v>
      </c>
      <c r="J298" t="s">
        <v>27</v>
      </c>
      <c r="K298">
        <v>0.13</v>
      </c>
      <c r="L298" t="s">
        <v>21</v>
      </c>
      <c r="M298" t="s">
        <v>32</v>
      </c>
      <c r="N298" t="s">
        <v>33</v>
      </c>
      <c r="O298" s="2">
        <f>_Salesdata[[#This Row],[Unit_Price]] * _Salesdata[[#This Row],[Quantity_Sold]]</f>
        <v>75030</v>
      </c>
      <c r="P298" s="2">
        <f>_Salesdata[[#This Row],[Unit_Cost]] * _Salesdata[[#This Row],[Quantity_Sold]]</f>
        <v>57908.800000000003</v>
      </c>
      <c r="Q298" s="2">
        <f>_Salesdata[[#This Row],[Gross_Sales]] - _Salesdata[[#This Row],[Total Cost]]</f>
        <v>17121.199999999997</v>
      </c>
      <c r="R298" s="2"/>
    </row>
    <row r="299" spans="1:18" x14ac:dyDescent="0.25">
      <c r="A299">
        <v>1017</v>
      </c>
      <c r="B299" s="1">
        <v>45148</v>
      </c>
      <c r="C299" t="s">
        <v>24</v>
      </c>
      <c r="D299" t="s">
        <v>37</v>
      </c>
      <c r="E299" s="2">
        <v>7400.52</v>
      </c>
      <c r="F299">
        <v>43</v>
      </c>
      <c r="G299" t="s">
        <v>39</v>
      </c>
      <c r="H299" s="2">
        <v>1454.8</v>
      </c>
      <c r="I299" s="2">
        <v>1674.97</v>
      </c>
      <c r="J299" t="s">
        <v>27</v>
      </c>
      <c r="K299">
        <v>0.03</v>
      </c>
      <c r="L299" t="s">
        <v>28</v>
      </c>
      <c r="M299" t="s">
        <v>22</v>
      </c>
      <c r="N299" t="s">
        <v>53</v>
      </c>
      <c r="O299" s="2">
        <f>_Salesdata[[#This Row],[Unit_Price]] * _Salesdata[[#This Row],[Quantity_Sold]]</f>
        <v>72023.710000000006</v>
      </c>
      <c r="P299" s="2">
        <f>_Salesdata[[#This Row],[Unit_Cost]] * _Salesdata[[#This Row],[Quantity_Sold]]</f>
        <v>62556.4</v>
      </c>
      <c r="Q299" s="2">
        <f>_Salesdata[[#This Row],[Gross_Sales]] - _Salesdata[[#This Row],[Total Cost]]</f>
        <v>9467.3100000000049</v>
      </c>
      <c r="R299" s="2"/>
    </row>
    <row r="300" spans="1:18" x14ac:dyDescent="0.25">
      <c r="A300">
        <v>1054</v>
      </c>
      <c r="B300" s="1">
        <v>45100</v>
      </c>
      <c r="C300" t="s">
        <v>30</v>
      </c>
      <c r="D300" t="s">
        <v>25</v>
      </c>
      <c r="E300" s="2">
        <v>4291.0200000000004</v>
      </c>
      <c r="F300">
        <v>27</v>
      </c>
      <c r="G300" t="s">
        <v>26</v>
      </c>
      <c r="H300" s="2">
        <v>1456.09</v>
      </c>
      <c r="I300" s="2">
        <v>1510.4299999999901</v>
      </c>
      <c r="J300" t="s">
        <v>20</v>
      </c>
      <c r="K300">
        <v>0.17</v>
      </c>
      <c r="L300" t="s">
        <v>21</v>
      </c>
      <c r="M300" t="s">
        <v>32</v>
      </c>
      <c r="N300" t="s">
        <v>45</v>
      </c>
      <c r="O300" s="2">
        <f>_Salesdata[[#This Row],[Unit_Price]] * _Salesdata[[#This Row],[Quantity_Sold]]</f>
        <v>40781.609999999731</v>
      </c>
      <c r="P300" s="2">
        <f>_Salesdata[[#This Row],[Unit_Cost]] * _Salesdata[[#This Row],[Quantity_Sold]]</f>
        <v>39314.43</v>
      </c>
      <c r="Q300" s="2">
        <f>_Salesdata[[#This Row],[Gross_Sales]] - _Salesdata[[#This Row],[Total Cost]]</f>
        <v>1467.1799999997311</v>
      </c>
      <c r="R300" s="2"/>
    </row>
    <row r="301" spans="1:18" x14ac:dyDescent="0.25">
      <c r="A301">
        <v>1084</v>
      </c>
      <c r="B301" s="1">
        <v>45190</v>
      </c>
      <c r="C301" t="s">
        <v>48</v>
      </c>
      <c r="D301" t="s">
        <v>40</v>
      </c>
      <c r="E301" s="2">
        <v>2813.31</v>
      </c>
      <c r="F301">
        <v>36</v>
      </c>
      <c r="G301" t="s">
        <v>39</v>
      </c>
      <c r="H301" s="2">
        <v>1458.77</v>
      </c>
      <c r="I301" s="2">
        <v>1485.75</v>
      </c>
      <c r="J301" t="s">
        <v>27</v>
      </c>
      <c r="K301">
        <v>0.25</v>
      </c>
      <c r="L301" t="s">
        <v>28</v>
      </c>
      <c r="M301" t="s">
        <v>22</v>
      </c>
      <c r="N301" t="s">
        <v>50</v>
      </c>
      <c r="O301" s="2">
        <f>_Salesdata[[#This Row],[Unit_Price]] * _Salesdata[[#This Row],[Quantity_Sold]]</f>
        <v>53487</v>
      </c>
      <c r="P301" s="2">
        <f>_Salesdata[[#This Row],[Unit_Cost]] * _Salesdata[[#This Row],[Quantity_Sold]]</f>
        <v>52515.72</v>
      </c>
      <c r="Q301" s="2">
        <f>_Salesdata[[#This Row],[Gross_Sales]] - _Salesdata[[#This Row],[Total Cost]]</f>
        <v>971.27999999999884</v>
      </c>
      <c r="R301" s="2"/>
    </row>
    <row r="302" spans="1:18" x14ac:dyDescent="0.25">
      <c r="A302">
        <v>1062</v>
      </c>
      <c r="B302" s="1">
        <v>45242</v>
      </c>
      <c r="C302" t="s">
        <v>48</v>
      </c>
      <c r="D302" t="s">
        <v>40</v>
      </c>
      <c r="E302" s="2">
        <v>8681.0300000000007</v>
      </c>
      <c r="F302">
        <v>9</v>
      </c>
      <c r="G302" t="s">
        <v>26</v>
      </c>
      <c r="H302" s="2">
        <v>1468.05</v>
      </c>
      <c r="I302" s="2">
        <v>1838.21</v>
      </c>
      <c r="J302" t="s">
        <v>27</v>
      </c>
      <c r="K302">
        <v>0.15</v>
      </c>
      <c r="L302" t="s">
        <v>44</v>
      </c>
      <c r="M302" t="s">
        <v>32</v>
      </c>
      <c r="N302" t="s">
        <v>50</v>
      </c>
      <c r="O302" s="2">
        <f>_Salesdata[[#This Row],[Unit_Price]] * _Salesdata[[#This Row],[Quantity_Sold]]</f>
        <v>16543.89</v>
      </c>
      <c r="P302" s="2">
        <f>_Salesdata[[#This Row],[Unit_Cost]] * _Salesdata[[#This Row],[Quantity_Sold]]</f>
        <v>13212.449999999999</v>
      </c>
      <c r="Q302" s="2">
        <f>_Salesdata[[#This Row],[Gross_Sales]] - _Salesdata[[#This Row],[Total Cost]]</f>
        <v>3331.4400000000005</v>
      </c>
      <c r="R302" s="2"/>
    </row>
    <row r="303" spans="1:18" x14ac:dyDescent="0.25">
      <c r="A303">
        <v>1036</v>
      </c>
      <c r="B303" s="1">
        <v>45108</v>
      </c>
      <c r="C303" t="s">
        <v>24</v>
      </c>
      <c r="D303" t="s">
        <v>25</v>
      </c>
      <c r="E303" s="2">
        <v>3111.57</v>
      </c>
      <c r="F303">
        <v>17</v>
      </c>
      <c r="G303" t="s">
        <v>39</v>
      </c>
      <c r="H303" s="2">
        <v>1475</v>
      </c>
      <c r="I303" s="2">
        <v>1840.77</v>
      </c>
      <c r="J303" t="s">
        <v>20</v>
      </c>
      <c r="K303">
        <v>0.1</v>
      </c>
      <c r="L303" t="s">
        <v>28</v>
      </c>
      <c r="M303" t="s">
        <v>22</v>
      </c>
      <c r="N303" t="s">
        <v>29</v>
      </c>
      <c r="O303" s="2">
        <f>_Salesdata[[#This Row],[Unit_Price]] * _Salesdata[[#This Row],[Quantity_Sold]]</f>
        <v>31293.09</v>
      </c>
      <c r="P303" s="2">
        <f>_Salesdata[[#This Row],[Unit_Cost]] * _Salesdata[[#This Row],[Quantity_Sold]]</f>
        <v>25075</v>
      </c>
      <c r="Q303" s="2">
        <f>_Salesdata[[#This Row],[Gross_Sales]] - _Salesdata[[#This Row],[Total Cost]]</f>
        <v>6218.09</v>
      </c>
      <c r="R303" s="2"/>
    </row>
    <row r="304" spans="1:18" x14ac:dyDescent="0.25">
      <c r="A304">
        <v>1007</v>
      </c>
      <c r="B304" s="1">
        <v>45091</v>
      </c>
      <c r="C304" t="s">
        <v>24</v>
      </c>
      <c r="D304" t="s">
        <v>37</v>
      </c>
      <c r="E304" s="2">
        <v>249.6</v>
      </c>
      <c r="F304">
        <v>9</v>
      </c>
      <c r="G304" t="s">
        <v>19</v>
      </c>
      <c r="H304" s="2">
        <v>1481.76</v>
      </c>
      <c r="I304" s="2">
        <v>1668.95</v>
      </c>
      <c r="J304" t="s">
        <v>20</v>
      </c>
      <c r="K304">
        <v>0.12</v>
      </c>
      <c r="L304" t="s">
        <v>28</v>
      </c>
      <c r="M304" t="s">
        <v>32</v>
      </c>
      <c r="N304" t="s">
        <v>53</v>
      </c>
      <c r="O304" s="2">
        <f>_Salesdata[[#This Row],[Unit_Price]] * _Salesdata[[#This Row],[Quantity_Sold]]</f>
        <v>15020.550000000001</v>
      </c>
      <c r="P304" s="2">
        <f>_Salesdata[[#This Row],[Unit_Cost]] * _Salesdata[[#This Row],[Quantity_Sold]]</f>
        <v>13335.84</v>
      </c>
      <c r="Q304" s="2">
        <f>_Salesdata[[#This Row],[Gross_Sales]] - _Salesdata[[#This Row],[Total Cost]]</f>
        <v>1684.7100000000009</v>
      </c>
      <c r="R304" s="2"/>
    </row>
    <row r="305" spans="1:18" x14ac:dyDescent="0.25">
      <c r="A305">
        <v>1025</v>
      </c>
      <c r="B305" s="1">
        <v>45214</v>
      </c>
      <c r="C305" t="s">
        <v>30</v>
      </c>
      <c r="D305" t="s">
        <v>37</v>
      </c>
      <c r="E305" s="2">
        <v>3422.54</v>
      </c>
      <c r="F305">
        <v>44</v>
      </c>
      <c r="G305" t="s">
        <v>31</v>
      </c>
      <c r="H305" s="2">
        <v>1485.72</v>
      </c>
      <c r="I305" s="2">
        <v>1717.97</v>
      </c>
      <c r="J305" t="s">
        <v>27</v>
      </c>
      <c r="K305">
        <v>0.02</v>
      </c>
      <c r="L305" t="s">
        <v>28</v>
      </c>
      <c r="M305" t="s">
        <v>32</v>
      </c>
      <c r="N305" t="s">
        <v>51</v>
      </c>
      <c r="O305" s="2">
        <f>_Salesdata[[#This Row],[Unit_Price]] * _Salesdata[[#This Row],[Quantity_Sold]]</f>
        <v>75590.680000000008</v>
      </c>
      <c r="P305" s="2">
        <f>_Salesdata[[#This Row],[Unit_Cost]] * _Salesdata[[#This Row],[Quantity_Sold]]</f>
        <v>65371.68</v>
      </c>
      <c r="Q305" s="2">
        <f>_Salesdata[[#This Row],[Gross_Sales]] - _Salesdata[[#This Row],[Total Cost]]</f>
        <v>10219.000000000007</v>
      </c>
      <c r="R305" s="2"/>
    </row>
    <row r="306" spans="1:18" x14ac:dyDescent="0.25">
      <c r="A306">
        <v>1093</v>
      </c>
      <c r="B306" s="1">
        <v>45201</v>
      </c>
      <c r="C306" t="s">
        <v>17</v>
      </c>
      <c r="D306" t="s">
        <v>25</v>
      </c>
      <c r="E306" s="2">
        <v>3747.64</v>
      </c>
      <c r="F306">
        <v>43</v>
      </c>
      <c r="G306" t="s">
        <v>26</v>
      </c>
      <c r="H306" s="2">
        <v>1486.76</v>
      </c>
      <c r="I306" s="2">
        <v>1505.44</v>
      </c>
      <c r="J306" t="s">
        <v>27</v>
      </c>
      <c r="K306">
        <v>0.08</v>
      </c>
      <c r="L306" t="s">
        <v>21</v>
      </c>
      <c r="M306" t="s">
        <v>32</v>
      </c>
      <c r="N306" t="s">
        <v>34</v>
      </c>
      <c r="O306" s="2">
        <f>_Salesdata[[#This Row],[Unit_Price]] * _Salesdata[[#This Row],[Quantity_Sold]]</f>
        <v>64733.920000000006</v>
      </c>
      <c r="P306" s="2">
        <f>_Salesdata[[#This Row],[Unit_Cost]] * _Salesdata[[#This Row],[Quantity_Sold]]</f>
        <v>63930.68</v>
      </c>
      <c r="Q306" s="2">
        <f>_Salesdata[[#This Row],[Gross_Sales]] - _Salesdata[[#This Row],[Total Cost]]</f>
        <v>803.24000000000524</v>
      </c>
      <c r="R306" s="2"/>
    </row>
    <row r="307" spans="1:18" x14ac:dyDescent="0.25">
      <c r="A307">
        <v>1024</v>
      </c>
      <c r="B307" s="1">
        <v>44967</v>
      </c>
      <c r="C307" t="s">
        <v>30</v>
      </c>
      <c r="D307" t="s">
        <v>18</v>
      </c>
      <c r="E307" s="2">
        <v>6274.12</v>
      </c>
      <c r="F307">
        <v>13</v>
      </c>
      <c r="G307" t="s">
        <v>19</v>
      </c>
      <c r="H307" s="2">
        <v>1493.88</v>
      </c>
      <c r="I307" s="2">
        <v>1781.09</v>
      </c>
      <c r="J307" t="s">
        <v>27</v>
      </c>
      <c r="K307">
        <v>0.04</v>
      </c>
      <c r="L307" t="s">
        <v>21</v>
      </c>
      <c r="M307" t="s">
        <v>32</v>
      </c>
      <c r="N307" t="s">
        <v>33</v>
      </c>
      <c r="O307" s="2">
        <f>_Salesdata[[#This Row],[Unit_Price]] * _Salesdata[[#This Row],[Quantity_Sold]]</f>
        <v>23154.17</v>
      </c>
      <c r="P307" s="2">
        <f>_Salesdata[[#This Row],[Unit_Cost]] * _Salesdata[[#This Row],[Quantity_Sold]]</f>
        <v>19420.440000000002</v>
      </c>
      <c r="Q307" s="2">
        <f>_Salesdata[[#This Row],[Gross_Sales]] - _Salesdata[[#This Row],[Total Cost]]</f>
        <v>3733.7299999999959</v>
      </c>
      <c r="R307" s="2"/>
    </row>
    <row r="308" spans="1:18" x14ac:dyDescent="0.25">
      <c r="A308">
        <v>1052</v>
      </c>
      <c r="B308" s="1">
        <v>45208</v>
      </c>
      <c r="C308" t="s">
        <v>30</v>
      </c>
      <c r="D308" t="s">
        <v>25</v>
      </c>
      <c r="E308" s="2">
        <v>6757.36</v>
      </c>
      <c r="F308">
        <v>41</v>
      </c>
      <c r="G308" t="s">
        <v>26</v>
      </c>
      <c r="H308" s="2">
        <v>1509.98</v>
      </c>
      <c r="I308" s="2">
        <v>1792.83</v>
      </c>
      <c r="J308" t="s">
        <v>27</v>
      </c>
      <c r="K308">
        <v>0.04</v>
      </c>
      <c r="L308" t="s">
        <v>21</v>
      </c>
      <c r="M308" t="s">
        <v>32</v>
      </c>
      <c r="N308" t="s">
        <v>45</v>
      </c>
      <c r="O308" s="2">
        <f>_Salesdata[[#This Row],[Unit_Price]] * _Salesdata[[#This Row],[Quantity_Sold]]</f>
        <v>73506.03</v>
      </c>
      <c r="P308" s="2">
        <f>_Salesdata[[#This Row],[Unit_Cost]] * _Salesdata[[#This Row],[Quantity_Sold]]</f>
        <v>61909.18</v>
      </c>
      <c r="Q308" s="2">
        <f>_Salesdata[[#This Row],[Gross_Sales]] - _Salesdata[[#This Row],[Total Cost]]</f>
        <v>11596.849999999999</v>
      </c>
      <c r="R308" s="2"/>
    </row>
    <row r="309" spans="1:18" x14ac:dyDescent="0.25">
      <c r="A309">
        <v>1044</v>
      </c>
      <c r="B309" s="1">
        <v>45136</v>
      </c>
      <c r="C309" t="s">
        <v>24</v>
      </c>
      <c r="D309" t="s">
        <v>37</v>
      </c>
      <c r="E309" s="2">
        <v>6144.41</v>
      </c>
      <c r="F309">
        <v>47</v>
      </c>
      <c r="G309" t="s">
        <v>26</v>
      </c>
      <c r="H309" s="2">
        <v>1512.34</v>
      </c>
      <c r="I309" s="2">
        <v>1830.76</v>
      </c>
      <c r="J309" t="s">
        <v>27</v>
      </c>
      <c r="K309">
        <v>0.12</v>
      </c>
      <c r="L309" t="s">
        <v>44</v>
      </c>
      <c r="M309" t="s">
        <v>22</v>
      </c>
      <c r="N309" t="s">
        <v>53</v>
      </c>
      <c r="O309" s="2">
        <f>_Salesdata[[#This Row],[Unit_Price]] * _Salesdata[[#This Row],[Quantity_Sold]]</f>
        <v>86045.72</v>
      </c>
      <c r="P309" s="2">
        <f>_Salesdata[[#This Row],[Unit_Cost]] * _Salesdata[[#This Row],[Quantity_Sold]]</f>
        <v>71079.98</v>
      </c>
      <c r="Q309" s="2">
        <f>_Salesdata[[#This Row],[Gross_Sales]] - _Salesdata[[#This Row],[Total Cost]]</f>
        <v>14965.740000000005</v>
      </c>
      <c r="R309" s="2"/>
    </row>
    <row r="310" spans="1:18" x14ac:dyDescent="0.25">
      <c r="A310">
        <v>1072</v>
      </c>
      <c r="B310" s="1">
        <v>45163</v>
      </c>
      <c r="C310" t="s">
        <v>35</v>
      </c>
      <c r="D310" t="s">
        <v>40</v>
      </c>
      <c r="E310" s="2">
        <v>2490.86</v>
      </c>
      <c r="F310">
        <v>12</v>
      </c>
      <c r="G310" t="s">
        <v>31</v>
      </c>
      <c r="H310" s="2">
        <v>1517.4</v>
      </c>
      <c r="I310" s="2">
        <v>1545.02</v>
      </c>
      <c r="J310" t="s">
        <v>27</v>
      </c>
      <c r="K310">
        <v>0.03</v>
      </c>
      <c r="L310" t="s">
        <v>44</v>
      </c>
      <c r="M310" t="s">
        <v>32</v>
      </c>
      <c r="N310" t="s">
        <v>43</v>
      </c>
      <c r="O310" s="2">
        <f>_Salesdata[[#This Row],[Unit_Price]] * _Salesdata[[#This Row],[Quantity_Sold]]</f>
        <v>18540.239999999998</v>
      </c>
      <c r="P310" s="2">
        <f>_Salesdata[[#This Row],[Unit_Cost]] * _Salesdata[[#This Row],[Quantity_Sold]]</f>
        <v>18208.800000000003</v>
      </c>
      <c r="Q310" s="2">
        <f>_Salesdata[[#This Row],[Gross_Sales]] - _Salesdata[[#This Row],[Total Cost]]</f>
        <v>331.43999999999505</v>
      </c>
      <c r="R310" s="2"/>
    </row>
    <row r="311" spans="1:18" x14ac:dyDescent="0.25">
      <c r="A311">
        <v>1099</v>
      </c>
      <c r="B311" s="1">
        <v>44971</v>
      </c>
      <c r="C311" t="s">
        <v>30</v>
      </c>
      <c r="D311" t="s">
        <v>40</v>
      </c>
      <c r="E311" s="2">
        <v>7802.45</v>
      </c>
      <c r="F311">
        <v>32</v>
      </c>
      <c r="G311" t="s">
        <v>19</v>
      </c>
      <c r="H311" s="2">
        <v>1517.86</v>
      </c>
      <c r="I311" s="2">
        <v>1948.46</v>
      </c>
      <c r="J311" t="s">
        <v>27</v>
      </c>
      <c r="K311">
        <v>0.02</v>
      </c>
      <c r="L311" t="s">
        <v>28</v>
      </c>
      <c r="M311" t="s">
        <v>22</v>
      </c>
      <c r="N311" t="s">
        <v>41</v>
      </c>
      <c r="O311" s="2">
        <f>_Salesdata[[#This Row],[Unit_Price]] * _Salesdata[[#This Row],[Quantity_Sold]]</f>
        <v>62350.720000000001</v>
      </c>
      <c r="P311" s="2">
        <f>_Salesdata[[#This Row],[Unit_Cost]] * _Salesdata[[#This Row],[Quantity_Sold]]</f>
        <v>48571.519999999997</v>
      </c>
      <c r="Q311" s="2">
        <f>_Salesdata[[#This Row],[Gross_Sales]] - _Salesdata[[#This Row],[Total Cost]]</f>
        <v>13779.200000000004</v>
      </c>
      <c r="R311" s="2"/>
    </row>
    <row r="312" spans="1:18" x14ac:dyDescent="0.25">
      <c r="A312">
        <v>1062</v>
      </c>
      <c r="B312" s="1">
        <v>45018</v>
      </c>
      <c r="C312" t="s">
        <v>17</v>
      </c>
      <c r="D312" t="s">
        <v>18</v>
      </c>
      <c r="E312" s="2">
        <v>6991.95</v>
      </c>
      <c r="F312">
        <v>10</v>
      </c>
      <c r="G312" t="s">
        <v>19</v>
      </c>
      <c r="H312" s="2">
        <v>1524.88</v>
      </c>
      <c r="I312" s="2">
        <v>1636.14</v>
      </c>
      <c r="J312" t="s">
        <v>27</v>
      </c>
      <c r="K312">
        <v>0.2</v>
      </c>
      <c r="L312" t="s">
        <v>44</v>
      </c>
      <c r="M312" t="s">
        <v>22</v>
      </c>
      <c r="N312" t="s">
        <v>23</v>
      </c>
      <c r="O312" s="2">
        <f>_Salesdata[[#This Row],[Unit_Price]] * _Salesdata[[#This Row],[Quantity_Sold]]</f>
        <v>16361.400000000001</v>
      </c>
      <c r="P312" s="2">
        <f>_Salesdata[[#This Row],[Unit_Cost]] * _Salesdata[[#This Row],[Quantity_Sold]]</f>
        <v>15248.800000000001</v>
      </c>
      <c r="Q312" s="2">
        <f>_Salesdata[[#This Row],[Gross_Sales]] - _Salesdata[[#This Row],[Total Cost]]</f>
        <v>1112.6000000000004</v>
      </c>
      <c r="R312" s="2"/>
    </row>
    <row r="313" spans="1:18" x14ac:dyDescent="0.25">
      <c r="A313">
        <v>1097</v>
      </c>
      <c r="B313" s="1">
        <v>45189</v>
      </c>
      <c r="C313" t="s">
        <v>30</v>
      </c>
      <c r="D313" t="s">
        <v>37</v>
      </c>
      <c r="E313" s="2">
        <v>6759.76</v>
      </c>
      <c r="F313">
        <v>45</v>
      </c>
      <c r="G313" t="s">
        <v>19</v>
      </c>
      <c r="H313" s="2">
        <v>1525.13</v>
      </c>
      <c r="I313" s="2">
        <v>1868.32</v>
      </c>
      <c r="J313" t="s">
        <v>20</v>
      </c>
      <c r="K313">
        <v>0.24</v>
      </c>
      <c r="L313" t="s">
        <v>21</v>
      </c>
      <c r="M313" t="s">
        <v>32</v>
      </c>
      <c r="N313" t="s">
        <v>51</v>
      </c>
      <c r="O313" s="2">
        <f>_Salesdata[[#This Row],[Unit_Price]] * _Salesdata[[#This Row],[Quantity_Sold]]</f>
        <v>84074.4</v>
      </c>
      <c r="P313" s="2">
        <f>_Salesdata[[#This Row],[Unit_Cost]] * _Salesdata[[#This Row],[Quantity_Sold]]</f>
        <v>68630.850000000006</v>
      </c>
      <c r="Q313" s="2">
        <f>_Salesdata[[#This Row],[Gross_Sales]] - _Salesdata[[#This Row],[Total Cost]]</f>
        <v>15443.549999999988</v>
      </c>
      <c r="R313" s="2"/>
    </row>
    <row r="314" spans="1:18" x14ac:dyDescent="0.25">
      <c r="A314">
        <v>1099</v>
      </c>
      <c r="B314" s="1">
        <v>44989</v>
      </c>
      <c r="C314" t="s">
        <v>30</v>
      </c>
      <c r="D314" t="s">
        <v>18</v>
      </c>
      <c r="E314" s="2">
        <v>7952.11</v>
      </c>
      <c r="F314">
        <v>10</v>
      </c>
      <c r="G314" t="s">
        <v>39</v>
      </c>
      <c r="H314" s="2">
        <v>1531.2</v>
      </c>
      <c r="I314" s="2">
        <v>1955.56</v>
      </c>
      <c r="J314" t="s">
        <v>27</v>
      </c>
      <c r="K314">
        <v>0</v>
      </c>
      <c r="L314" t="s">
        <v>28</v>
      </c>
      <c r="M314" t="s">
        <v>22</v>
      </c>
      <c r="N314" t="s">
        <v>33</v>
      </c>
      <c r="O314" s="2">
        <f>_Salesdata[[#This Row],[Unit_Price]] * _Salesdata[[#This Row],[Quantity_Sold]]</f>
        <v>19555.599999999999</v>
      </c>
      <c r="P314" s="2">
        <f>_Salesdata[[#This Row],[Unit_Cost]] * _Salesdata[[#This Row],[Quantity_Sold]]</f>
        <v>15312</v>
      </c>
      <c r="Q314" s="2">
        <f>_Salesdata[[#This Row],[Gross_Sales]] - _Salesdata[[#This Row],[Total Cost]]</f>
        <v>4243.5999999999985</v>
      </c>
      <c r="R314" s="2"/>
    </row>
    <row r="315" spans="1:18" x14ac:dyDescent="0.25">
      <c r="A315">
        <v>1023</v>
      </c>
      <c r="B315" s="1">
        <v>45128</v>
      </c>
      <c r="C315" t="s">
        <v>48</v>
      </c>
      <c r="D315" t="s">
        <v>37</v>
      </c>
      <c r="E315" s="2">
        <v>2282.9899999999998</v>
      </c>
      <c r="F315">
        <v>4</v>
      </c>
      <c r="G315" t="s">
        <v>19</v>
      </c>
      <c r="H315" s="2">
        <v>1532.8</v>
      </c>
      <c r="I315" s="2">
        <v>1619.69</v>
      </c>
      <c r="J315" t="s">
        <v>20</v>
      </c>
      <c r="K315">
        <v>0.05</v>
      </c>
      <c r="L315" t="s">
        <v>44</v>
      </c>
      <c r="M315" t="s">
        <v>32</v>
      </c>
      <c r="N315" t="s">
        <v>52</v>
      </c>
      <c r="O315" s="2">
        <f>_Salesdata[[#This Row],[Unit_Price]] * _Salesdata[[#This Row],[Quantity_Sold]]</f>
        <v>6478.76</v>
      </c>
      <c r="P315" s="2">
        <f>_Salesdata[[#This Row],[Unit_Cost]] * _Salesdata[[#This Row],[Quantity_Sold]]</f>
        <v>6131.2</v>
      </c>
      <c r="Q315" s="2">
        <f>_Salesdata[[#This Row],[Gross_Sales]] - _Salesdata[[#This Row],[Total Cost]]</f>
        <v>347.5600000000004</v>
      </c>
      <c r="R315" s="2"/>
    </row>
    <row r="316" spans="1:18" x14ac:dyDescent="0.25">
      <c r="A316">
        <v>1013</v>
      </c>
      <c r="B316" s="1">
        <v>45220</v>
      </c>
      <c r="C316" t="s">
        <v>30</v>
      </c>
      <c r="D316" t="s">
        <v>18</v>
      </c>
      <c r="E316" s="2">
        <v>5039.07</v>
      </c>
      <c r="F316">
        <v>20</v>
      </c>
      <c r="G316" t="s">
        <v>26</v>
      </c>
      <c r="H316" s="2">
        <v>1533.36</v>
      </c>
      <c r="I316" s="2">
        <v>1649.73999999999</v>
      </c>
      <c r="J316" t="s">
        <v>20</v>
      </c>
      <c r="K316">
        <v>0.1</v>
      </c>
      <c r="L316" t="s">
        <v>44</v>
      </c>
      <c r="M316" t="s">
        <v>22</v>
      </c>
      <c r="N316" t="s">
        <v>33</v>
      </c>
      <c r="O316" s="2">
        <f>_Salesdata[[#This Row],[Unit_Price]] * _Salesdata[[#This Row],[Quantity_Sold]]</f>
        <v>32994.799999999799</v>
      </c>
      <c r="P316" s="2">
        <f>_Salesdata[[#This Row],[Unit_Cost]] * _Salesdata[[#This Row],[Quantity_Sold]]</f>
        <v>30667.199999999997</v>
      </c>
      <c r="Q316" s="2">
        <f>_Salesdata[[#This Row],[Gross_Sales]] - _Salesdata[[#This Row],[Total Cost]]</f>
        <v>2327.5999999998021</v>
      </c>
      <c r="R316" s="2"/>
    </row>
    <row r="317" spans="1:18" x14ac:dyDescent="0.25">
      <c r="A317">
        <v>1091</v>
      </c>
      <c r="B317" s="1">
        <v>45200</v>
      </c>
      <c r="C317" t="s">
        <v>48</v>
      </c>
      <c r="D317" t="s">
        <v>18</v>
      </c>
      <c r="E317" s="2">
        <v>3917.42</v>
      </c>
      <c r="F317">
        <v>15</v>
      </c>
      <c r="G317" t="s">
        <v>26</v>
      </c>
      <c r="H317" s="2">
        <v>1534.7</v>
      </c>
      <c r="I317" s="2">
        <v>1972.62</v>
      </c>
      <c r="J317" t="s">
        <v>20</v>
      </c>
      <c r="K317">
        <v>0.06</v>
      </c>
      <c r="L317" t="s">
        <v>28</v>
      </c>
      <c r="M317" t="s">
        <v>32</v>
      </c>
      <c r="N317" t="s">
        <v>54</v>
      </c>
      <c r="O317" s="2">
        <f>_Salesdata[[#This Row],[Unit_Price]] * _Salesdata[[#This Row],[Quantity_Sold]]</f>
        <v>29589.3</v>
      </c>
      <c r="P317" s="2">
        <f>_Salesdata[[#This Row],[Unit_Cost]] * _Salesdata[[#This Row],[Quantity_Sold]]</f>
        <v>23020.5</v>
      </c>
      <c r="Q317" s="2">
        <f>_Salesdata[[#This Row],[Gross_Sales]] - _Salesdata[[#This Row],[Total Cost]]</f>
        <v>6568.7999999999993</v>
      </c>
      <c r="R317" s="2"/>
    </row>
    <row r="318" spans="1:18" x14ac:dyDescent="0.25">
      <c r="A318">
        <v>1008</v>
      </c>
      <c r="B318" s="1">
        <v>45212</v>
      </c>
      <c r="C318" t="s">
        <v>48</v>
      </c>
      <c r="D318" t="s">
        <v>25</v>
      </c>
      <c r="E318" s="2">
        <v>1558.3</v>
      </c>
      <c r="F318">
        <v>24</v>
      </c>
      <c r="G318" t="s">
        <v>26</v>
      </c>
      <c r="H318" s="2">
        <v>1542.24</v>
      </c>
      <c r="I318" s="2">
        <v>1739.45</v>
      </c>
      <c r="J318" t="s">
        <v>20</v>
      </c>
      <c r="K318">
        <v>0.21</v>
      </c>
      <c r="L318" t="s">
        <v>44</v>
      </c>
      <c r="M318" t="s">
        <v>32</v>
      </c>
      <c r="N318" t="s">
        <v>49</v>
      </c>
      <c r="O318" s="2">
        <f>_Salesdata[[#This Row],[Unit_Price]] * _Salesdata[[#This Row],[Quantity_Sold]]</f>
        <v>41746.800000000003</v>
      </c>
      <c r="P318" s="2">
        <f>_Salesdata[[#This Row],[Unit_Cost]] * _Salesdata[[#This Row],[Quantity_Sold]]</f>
        <v>37013.760000000002</v>
      </c>
      <c r="Q318" s="2">
        <f>_Salesdata[[#This Row],[Gross_Sales]] - _Salesdata[[#This Row],[Total Cost]]</f>
        <v>4733.0400000000009</v>
      </c>
      <c r="R318" s="2"/>
    </row>
    <row r="319" spans="1:18" x14ac:dyDescent="0.25">
      <c r="A319">
        <v>1038</v>
      </c>
      <c r="B319" s="1">
        <v>45095</v>
      </c>
      <c r="C319" t="s">
        <v>48</v>
      </c>
      <c r="D319" t="s">
        <v>25</v>
      </c>
      <c r="E319" s="2">
        <v>2792.27</v>
      </c>
      <c r="F319">
        <v>24</v>
      </c>
      <c r="G319" t="s">
        <v>19</v>
      </c>
      <c r="H319" s="2">
        <v>1543.91</v>
      </c>
      <c r="I319" s="2">
        <v>1862.88</v>
      </c>
      <c r="J319" t="s">
        <v>27</v>
      </c>
      <c r="K319">
        <v>0.09</v>
      </c>
      <c r="L319" t="s">
        <v>44</v>
      </c>
      <c r="M319" t="s">
        <v>22</v>
      </c>
      <c r="N319" t="s">
        <v>49</v>
      </c>
      <c r="O319" s="2">
        <f>_Salesdata[[#This Row],[Unit_Price]] * _Salesdata[[#This Row],[Quantity_Sold]]</f>
        <v>44709.120000000003</v>
      </c>
      <c r="P319" s="2">
        <f>_Salesdata[[#This Row],[Unit_Cost]] * _Salesdata[[#This Row],[Quantity_Sold]]</f>
        <v>37053.840000000004</v>
      </c>
      <c r="Q319" s="2">
        <f>_Salesdata[[#This Row],[Gross_Sales]] - _Salesdata[[#This Row],[Total Cost]]</f>
        <v>7655.2799999999988</v>
      </c>
      <c r="R319" s="2"/>
    </row>
    <row r="320" spans="1:18" x14ac:dyDescent="0.25">
      <c r="A320">
        <v>1024</v>
      </c>
      <c r="B320" s="1">
        <v>45148</v>
      </c>
      <c r="C320" t="s">
        <v>48</v>
      </c>
      <c r="D320" t="s">
        <v>40</v>
      </c>
      <c r="E320" s="2">
        <v>4384.3900000000003</v>
      </c>
      <c r="F320">
        <v>30</v>
      </c>
      <c r="G320" t="s">
        <v>31</v>
      </c>
      <c r="H320" s="2">
        <v>1543.96</v>
      </c>
      <c r="I320" s="2">
        <v>1558.87</v>
      </c>
      <c r="J320" t="s">
        <v>20</v>
      </c>
      <c r="K320">
        <v>0.28000000000000003</v>
      </c>
      <c r="L320" t="s">
        <v>28</v>
      </c>
      <c r="M320" t="s">
        <v>22</v>
      </c>
      <c r="N320" t="s">
        <v>50</v>
      </c>
      <c r="O320" s="2">
        <f>_Salesdata[[#This Row],[Unit_Price]] * _Salesdata[[#This Row],[Quantity_Sold]]</f>
        <v>46766.1</v>
      </c>
      <c r="P320" s="2">
        <f>_Salesdata[[#This Row],[Unit_Cost]] * _Salesdata[[#This Row],[Quantity_Sold]]</f>
        <v>46318.8</v>
      </c>
      <c r="Q320" s="2">
        <f>_Salesdata[[#This Row],[Gross_Sales]] - _Salesdata[[#This Row],[Total Cost]]</f>
        <v>447.29999999999563</v>
      </c>
      <c r="R320" s="2"/>
    </row>
    <row r="321" spans="1:18" x14ac:dyDescent="0.25">
      <c r="A321">
        <v>1017</v>
      </c>
      <c r="B321" s="1">
        <v>45283</v>
      </c>
      <c r="C321" t="s">
        <v>24</v>
      </c>
      <c r="D321" t="s">
        <v>18</v>
      </c>
      <c r="E321" s="2">
        <v>780.27</v>
      </c>
      <c r="F321">
        <v>33</v>
      </c>
      <c r="G321" t="s">
        <v>31</v>
      </c>
      <c r="H321" s="2">
        <v>1551.25</v>
      </c>
      <c r="I321" s="2">
        <v>1994.01</v>
      </c>
      <c r="J321" t="s">
        <v>20</v>
      </c>
      <c r="K321">
        <v>0.08</v>
      </c>
      <c r="L321" t="s">
        <v>21</v>
      </c>
      <c r="M321" t="s">
        <v>22</v>
      </c>
      <c r="N321" t="s">
        <v>46</v>
      </c>
      <c r="O321" s="2">
        <f>_Salesdata[[#This Row],[Unit_Price]] * _Salesdata[[#This Row],[Quantity_Sold]]</f>
        <v>65802.33</v>
      </c>
      <c r="P321" s="2">
        <f>_Salesdata[[#This Row],[Unit_Cost]] * _Salesdata[[#This Row],[Quantity_Sold]]</f>
        <v>51191.25</v>
      </c>
      <c r="Q321" s="2">
        <f>_Salesdata[[#This Row],[Gross_Sales]] - _Salesdata[[#This Row],[Total Cost]]</f>
        <v>14611.080000000002</v>
      </c>
      <c r="R321" s="2"/>
    </row>
    <row r="322" spans="1:18" x14ac:dyDescent="0.25">
      <c r="A322">
        <v>1056</v>
      </c>
      <c r="B322" s="1">
        <v>44985</v>
      </c>
      <c r="C322" t="s">
        <v>48</v>
      </c>
      <c r="D322" t="s">
        <v>37</v>
      </c>
      <c r="E322" s="2">
        <v>6629.16</v>
      </c>
      <c r="F322">
        <v>37</v>
      </c>
      <c r="G322" t="s">
        <v>26</v>
      </c>
      <c r="H322" s="2">
        <v>1555.41</v>
      </c>
      <c r="I322" s="2">
        <v>1609.94</v>
      </c>
      <c r="J322" t="s">
        <v>20</v>
      </c>
      <c r="K322">
        <v>0.16</v>
      </c>
      <c r="L322" t="s">
        <v>28</v>
      </c>
      <c r="M322" t="s">
        <v>22</v>
      </c>
      <c r="N322" t="s">
        <v>52</v>
      </c>
      <c r="O322" s="2">
        <f>_Salesdata[[#This Row],[Unit_Price]] * _Salesdata[[#This Row],[Quantity_Sold]]</f>
        <v>59567.78</v>
      </c>
      <c r="P322" s="2">
        <f>_Salesdata[[#This Row],[Unit_Cost]] * _Salesdata[[#This Row],[Quantity_Sold]]</f>
        <v>57550.170000000006</v>
      </c>
      <c r="Q322" s="2">
        <f>_Salesdata[[#This Row],[Gross_Sales]] - _Salesdata[[#This Row],[Total Cost]]</f>
        <v>2017.6099999999933</v>
      </c>
      <c r="R322" s="2"/>
    </row>
    <row r="323" spans="1:18" x14ac:dyDescent="0.25">
      <c r="A323">
        <v>1023</v>
      </c>
      <c r="B323" s="1">
        <v>45199</v>
      </c>
      <c r="C323" t="s">
        <v>35</v>
      </c>
      <c r="D323" t="s">
        <v>37</v>
      </c>
      <c r="E323" s="2">
        <v>8046.14</v>
      </c>
      <c r="F323">
        <v>8</v>
      </c>
      <c r="G323" t="s">
        <v>39</v>
      </c>
      <c r="H323" s="2">
        <v>1563.78</v>
      </c>
      <c r="I323" s="2">
        <v>1829.1599999999901</v>
      </c>
      <c r="J323" t="s">
        <v>20</v>
      </c>
      <c r="K323">
        <v>0.15</v>
      </c>
      <c r="L323" t="s">
        <v>21</v>
      </c>
      <c r="M323" t="s">
        <v>22</v>
      </c>
      <c r="N323" t="s">
        <v>38</v>
      </c>
      <c r="O323" s="2">
        <f>_Salesdata[[#This Row],[Unit_Price]] * _Salesdata[[#This Row],[Quantity_Sold]]</f>
        <v>14633.279999999921</v>
      </c>
      <c r="P323" s="2">
        <f>_Salesdata[[#This Row],[Unit_Cost]] * _Salesdata[[#This Row],[Quantity_Sold]]</f>
        <v>12510.24</v>
      </c>
      <c r="Q323" s="2">
        <f>_Salesdata[[#This Row],[Gross_Sales]] - _Salesdata[[#This Row],[Total Cost]]</f>
        <v>2123.0399999999208</v>
      </c>
      <c r="R323" s="2"/>
    </row>
    <row r="324" spans="1:18" x14ac:dyDescent="0.25">
      <c r="A324">
        <v>1056</v>
      </c>
      <c r="B324" s="1">
        <v>45053</v>
      </c>
      <c r="C324" t="s">
        <v>30</v>
      </c>
      <c r="D324" t="s">
        <v>18</v>
      </c>
      <c r="E324" s="2">
        <v>7611.88</v>
      </c>
      <c r="F324">
        <v>28</v>
      </c>
      <c r="G324" t="s">
        <v>19</v>
      </c>
      <c r="H324" s="2">
        <v>1566.03</v>
      </c>
      <c r="I324" s="2">
        <v>1576.34</v>
      </c>
      <c r="J324" t="s">
        <v>20</v>
      </c>
      <c r="K324">
        <v>0.2</v>
      </c>
      <c r="L324" t="s">
        <v>44</v>
      </c>
      <c r="M324" t="s">
        <v>22</v>
      </c>
      <c r="N324" t="s">
        <v>33</v>
      </c>
      <c r="O324" s="2">
        <f>_Salesdata[[#This Row],[Unit_Price]] * _Salesdata[[#This Row],[Quantity_Sold]]</f>
        <v>44137.52</v>
      </c>
      <c r="P324" s="2">
        <f>_Salesdata[[#This Row],[Unit_Cost]] * _Salesdata[[#This Row],[Quantity_Sold]]</f>
        <v>43848.84</v>
      </c>
      <c r="Q324" s="2">
        <f>_Salesdata[[#This Row],[Gross_Sales]] - _Salesdata[[#This Row],[Total Cost]]</f>
        <v>288.68000000000029</v>
      </c>
      <c r="R324" s="2"/>
    </row>
    <row r="325" spans="1:18" x14ac:dyDescent="0.25">
      <c r="A325">
        <v>1086</v>
      </c>
      <c r="B325" s="1">
        <v>44930</v>
      </c>
      <c r="C325" t="s">
        <v>17</v>
      </c>
      <c r="D325" t="s">
        <v>40</v>
      </c>
      <c r="E325" s="2">
        <v>6530.14</v>
      </c>
      <c r="F325">
        <v>8</v>
      </c>
      <c r="G325" t="s">
        <v>39</v>
      </c>
      <c r="H325" s="2">
        <v>1569.31</v>
      </c>
      <c r="I325" s="2">
        <v>1798.02</v>
      </c>
      <c r="J325" t="s">
        <v>27</v>
      </c>
      <c r="K325">
        <v>7.0000000000000007E-2</v>
      </c>
      <c r="L325" t="s">
        <v>28</v>
      </c>
      <c r="M325" t="s">
        <v>22</v>
      </c>
      <c r="N325" t="s">
        <v>42</v>
      </c>
      <c r="O325" s="2">
        <f>_Salesdata[[#This Row],[Unit_Price]] * _Salesdata[[#This Row],[Quantity_Sold]]</f>
        <v>14384.16</v>
      </c>
      <c r="P325" s="2">
        <f>_Salesdata[[#This Row],[Unit_Cost]] * _Salesdata[[#This Row],[Quantity_Sold]]</f>
        <v>12554.48</v>
      </c>
      <c r="Q325" s="2">
        <f>_Salesdata[[#This Row],[Gross_Sales]] - _Salesdata[[#This Row],[Total Cost]]</f>
        <v>1829.6800000000003</v>
      </c>
      <c r="R325" s="2"/>
    </row>
    <row r="326" spans="1:18" x14ac:dyDescent="0.25">
      <c r="A326">
        <v>1062</v>
      </c>
      <c r="B326" s="1">
        <v>45208</v>
      </c>
      <c r="C326" t="s">
        <v>17</v>
      </c>
      <c r="D326" t="s">
        <v>18</v>
      </c>
      <c r="E326" s="2">
        <v>544.62</v>
      </c>
      <c r="F326">
        <v>4</v>
      </c>
      <c r="G326" t="s">
        <v>26</v>
      </c>
      <c r="H326" s="2">
        <v>1581.59</v>
      </c>
      <c r="I326" s="2">
        <v>2034.1499999999901</v>
      </c>
      <c r="J326" t="s">
        <v>20</v>
      </c>
      <c r="K326">
        <v>0.21</v>
      </c>
      <c r="L326" t="s">
        <v>21</v>
      </c>
      <c r="M326" t="s">
        <v>22</v>
      </c>
      <c r="N326" t="s">
        <v>23</v>
      </c>
      <c r="O326" s="2">
        <f>_Salesdata[[#This Row],[Unit_Price]] * _Salesdata[[#This Row],[Quantity_Sold]]</f>
        <v>8136.5999999999603</v>
      </c>
      <c r="P326" s="2">
        <f>_Salesdata[[#This Row],[Unit_Cost]] * _Salesdata[[#This Row],[Quantity_Sold]]</f>
        <v>6326.36</v>
      </c>
      <c r="Q326" s="2">
        <f>_Salesdata[[#This Row],[Gross_Sales]] - _Salesdata[[#This Row],[Total Cost]]</f>
        <v>1810.2399999999607</v>
      </c>
      <c r="R326" s="2"/>
    </row>
    <row r="327" spans="1:18" x14ac:dyDescent="0.25">
      <c r="A327">
        <v>1053</v>
      </c>
      <c r="B327" s="1">
        <v>44973</v>
      </c>
      <c r="C327" t="s">
        <v>48</v>
      </c>
      <c r="D327" t="s">
        <v>25</v>
      </c>
      <c r="E327" s="2">
        <v>3939.48</v>
      </c>
      <c r="F327">
        <v>11</v>
      </c>
      <c r="G327" t="s">
        <v>39</v>
      </c>
      <c r="H327" s="2">
        <v>1582.86</v>
      </c>
      <c r="I327" s="2">
        <v>1942.55</v>
      </c>
      <c r="J327" t="s">
        <v>27</v>
      </c>
      <c r="K327">
        <v>0.17</v>
      </c>
      <c r="L327" t="s">
        <v>28</v>
      </c>
      <c r="M327" t="s">
        <v>32</v>
      </c>
      <c r="N327" t="s">
        <v>49</v>
      </c>
      <c r="O327" s="2">
        <f>_Salesdata[[#This Row],[Unit_Price]] * _Salesdata[[#This Row],[Quantity_Sold]]</f>
        <v>21368.05</v>
      </c>
      <c r="P327" s="2">
        <f>_Salesdata[[#This Row],[Unit_Cost]] * _Salesdata[[#This Row],[Quantity_Sold]]</f>
        <v>17411.46</v>
      </c>
      <c r="Q327" s="2">
        <f>_Salesdata[[#This Row],[Gross_Sales]] - _Salesdata[[#This Row],[Total Cost]]</f>
        <v>3956.59</v>
      </c>
      <c r="R327" s="2"/>
    </row>
    <row r="328" spans="1:18" x14ac:dyDescent="0.25">
      <c r="A328">
        <v>1024</v>
      </c>
      <c r="B328" s="1">
        <v>45163</v>
      </c>
      <c r="C328" t="s">
        <v>30</v>
      </c>
      <c r="D328" t="s">
        <v>40</v>
      </c>
      <c r="E328" s="2">
        <v>1221.7</v>
      </c>
      <c r="F328">
        <v>42</v>
      </c>
      <c r="G328" t="s">
        <v>26</v>
      </c>
      <c r="H328" s="2">
        <v>1586.02</v>
      </c>
      <c r="I328" s="2">
        <v>2047.13</v>
      </c>
      <c r="J328" t="s">
        <v>27</v>
      </c>
      <c r="K328">
        <v>0.25</v>
      </c>
      <c r="L328" t="s">
        <v>21</v>
      </c>
      <c r="M328" t="s">
        <v>32</v>
      </c>
      <c r="N328" t="s">
        <v>41</v>
      </c>
      <c r="O328" s="2">
        <f>_Salesdata[[#This Row],[Unit_Price]] * _Salesdata[[#This Row],[Quantity_Sold]]</f>
        <v>85979.46</v>
      </c>
      <c r="P328" s="2">
        <f>_Salesdata[[#This Row],[Unit_Cost]] * _Salesdata[[#This Row],[Quantity_Sold]]</f>
        <v>66612.84</v>
      </c>
      <c r="Q328" s="2">
        <f>_Salesdata[[#This Row],[Gross_Sales]] - _Salesdata[[#This Row],[Total Cost]]</f>
        <v>19366.62000000001</v>
      </c>
      <c r="R328" s="2"/>
    </row>
    <row r="329" spans="1:18" x14ac:dyDescent="0.25">
      <c r="A329">
        <v>1025</v>
      </c>
      <c r="B329" s="1">
        <v>44972</v>
      </c>
      <c r="C329" t="s">
        <v>30</v>
      </c>
      <c r="D329" t="s">
        <v>40</v>
      </c>
      <c r="E329" s="2">
        <v>4140.7</v>
      </c>
      <c r="F329">
        <v>45</v>
      </c>
      <c r="G329" t="s">
        <v>19</v>
      </c>
      <c r="H329" s="2">
        <v>1588.04</v>
      </c>
      <c r="I329" s="2">
        <v>1703.6399999999901</v>
      </c>
      <c r="J329" t="s">
        <v>27</v>
      </c>
      <c r="K329">
        <v>0.2</v>
      </c>
      <c r="L329" t="s">
        <v>44</v>
      </c>
      <c r="M329" t="s">
        <v>32</v>
      </c>
      <c r="N329" t="s">
        <v>41</v>
      </c>
      <c r="O329" s="2">
        <f>_Salesdata[[#This Row],[Unit_Price]] * _Salesdata[[#This Row],[Quantity_Sold]]</f>
        <v>76663.799999999552</v>
      </c>
      <c r="P329" s="2">
        <f>_Salesdata[[#This Row],[Unit_Cost]] * _Salesdata[[#This Row],[Quantity_Sold]]</f>
        <v>71461.8</v>
      </c>
      <c r="Q329" s="2">
        <f>_Salesdata[[#This Row],[Gross_Sales]] - _Salesdata[[#This Row],[Total Cost]]</f>
        <v>5201.9999999995489</v>
      </c>
      <c r="R329" s="2"/>
    </row>
    <row r="330" spans="1:18" x14ac:dyDescent="0.25">
      <c r="A330">
        <v>1047</v>
      </c>
      <c r="B330" s="1">
        <v>45037</v>
      </c>
      <c r="C330" t="s">
        <v>48</v>
      </c>
      <c r="D330" t="s">
        <v>25</v>
      </c>
      <c r="E330" s="2">
        <v>6413.11</v>
      </c>
      <c r="F330">
        <v>17</v>
      </c>
      <c r="G330" t="s">
        <v>39</v>
      </c>
      <c r="H330" s="2">
        <v>1591.34</v>
      </c>
      <c r="I330" s="2">
        <v>2043.82</v>
      </c>
      <c r="J330" t="s">
        <v>27</v>
      </c>
      <c r="K330">
        <v>0.28999999999999998</v>
      </c>
      <c r="L330" t="s">
        <v>21</v>
      </c>
      <c r="M330" t="s">
        <v>32</v>
      </c>
      <c r="N330" t="s">
        <v>49</v>
      </c>
      <c r="O330" s="2">
        <f>_Salesdata[[#This Row],[Unit_Price]] * _Salesdata[[#This Row],[Quantity_Sold]]</f>
        <v>34744.94</v>
      </c>
      <c r="P330" s="2">
        <f>_Salesdata[[#This Row],[Unit_Cost]] * _Salesdata[[#This Row],[Quantity_Sold]]</f>
        <v>27052.78</v>
      </c>
      <c r="Q330" s="2">
        <f>_Salesdata[[#This Row],[Gross_Sales]] - _Salesdata[[#This Row],[Total Cost]]</f>
        <v>7692.1600000000035</v>
      </c>
      <c r="R330" s="2"/>
    </row>
    <row r="331" spans="1:18" x14ac:dyDescent="0.25">
      <c r="A331">
        <v>1086</v>
      </c>
      <c r="B331" s="1">
        <v>45079</v>
      </c>
      <c r="C331" t="s">
        <v>17</v>
      </c>
      <c r="D331" t="s">
        <v>18</v>
      </c>
      <c r="E331" s="2">
        <v>2495.5700000000002</v>
      </c>
      <c r="F331">
        <v>3</v>
      </c>
      <c r="G331" t="s">
        <v>26</v>
      </c>
      <c r="H331" s="2">
        <v>1595.35</v>
      </c>
      <c r="I331" s="2">
        <v>1625.70999999999</v>
      </c>
      <c r="J331" t="s">
        <v>27</v>
      </c>
      <c r="K331">
        <v>0.27</v>
      </c>
      <c r="L331" t="s">
        <v>21</v>
      </c>
      <c r="M331" t="s">
        <v>22</v>
      </c>
      <c r="N331" t="s">
        <v>23</v>
      </c>
      <c r="O331" s="2">
        <f>_Salesdata[[#This Row],[Unit_Price]] * _Salesdata[[#This Row],[Quantity_Sold]]</f>
        <v>4877.1299999999701</v>
      </c>
      <c r="P331" s="2">
        <f>_Salesdata[[#This Row],[Unit_Cost]] * _Salesdata[[#This Row],[Quantity_Sold]]</f>
        <v>4786.0499999999993</v>
      </c>
      <c r="Q331" s="2">
        <f>_Salesdata[[#This Row],[Gross_Sales]] - _Salesdata[[#This Row],[Total Cost]]</f>
        <v>91.079999999970823</v>
      </c>
      <c r="R331" s="2"/>
    </row>
    <row r="332" spans="1:18" x14ac:dyDescent="0.25">
      <c r="A332">
        <v>1041</v>
      </c>
      <c r="B332" s="1">
        <v>45163</v>
      </c>
      <c r="C332" t="s">
        <v>17</v>
      </c>
      <c r="D332" t="s">
        <v>40</v>
      </c>
      <c r="E332" s="2">
        <v>854.77</v>
      </c>
      <c r="F332">
        <v>31</v>
      </c>
      <c r="G332" t="s">
        <v>31</v>
      </c>
      <c r="H332" s="2">
        <v>1604.52</v>
      </c>
      <c r="I332" s="2">
        <v>1756.34</v>
      </c>
      <c r="J332" t="s">
        <v>20</v>
      </c>
      <c r="K332">
        <v>0.17</v>
      </c>
      <c r="L332" t="s">
        <v>21</v>
      </c>
      <c r="M332" t="s">
        <v>32</v>
      </c>
      <c r="N332" t="s">
        <v>42</v>
      </c>
      <c r="O332" s="2">
        <f>_Salesdata[[#This Row],[Unit_Price]] * _Salesdata[[#This Row],[Quantity_Sold]]</f>
        <v>54446.54</v>
      </c>
      <c r="P332" s="2">
        <f>_Salesdata[[#This Row],[Unit_Cost]] * _Salesdata[[#This Row],[Quantity_Sold]]</f>
        <v>49740.12</v>
      </c>
      <c r="Q332" s="2">
        <f>_Salesdata[[#This Row],[Gross_Sales]] - _Salesdata[[#This Row],[Total Cost]]</f>
        <v>4706.4199999999983</v>
      </c>
      <c r="R332" s="2"/>
    </row>
    <row r="333" spans="1:18" x14ac:dyDescent="0.25">
      <c r="A333">
        <v>1056</v>
      </c>
      <c r="B333" s="1">
        <v>45287</v>
      </c>
      <c r="C333" t="s">
        <v>17</v>
      </c>
      <c r="D333" t="s">
        <v>18</v>
      </c>
      <c r="E333" s="2">
        <v>7979.67</v>
      </c>
      <c r="F333">
        <v>4</v>
      </c>
      <c r="G333" t="s">
        <v>31</v>
      </c>
      <c r="H333" s="2">
        <v>1612.82</v>
      </c>
      <c r="I333" s="2">
        <v>1647.25</v>
      </c>
      <c r="J333" t="s">
        <v>20</v>
      </c>
      <c r="K333">
        <v>0.04</v>
      </c>
      <c r="L333" t="s">
        <v>28</v>
      </c>
      <c r="M333" t="s">
        <v>32</v>
      </c>
      <c r="N333" t="s">
        <v>23</v>
      </c>
      <c r="O333" s="2">
        <f>_Salesdata[[#This Row],[Unit_Price]] * _Salesdata[[#This Row],[Quantity_Sold]]</f>
        <v>6589</v>
      </c>
      <c r="P333" s="2">
        <f>_Salesdata[[#This Row],[Unit_Cost]] * _Salesdata[[#This Row],[Quantity_Sold]]</f>
        <v>6451.28</v>
      </c>
      <c r="Q333" s="2">
        <f>_Salesdata[[#This Row],[Gross_Sales]] - _Salesdata[[#This Row],[Total Cost]]</f>
        <v>137.72000000000025</v>
      </c>
      <c r="R333" s="2"/>
    </row>
    <row r="334" spans="1:18" x14ac:dyDescent="0.25">
      <c r="A334">
        <v>1075</v>
      </c>
      <c r="B334" s="1">
        <v>45150</v>
      </c>
      <c r="C334" t="s">
        <v>30</v>
      </c>
      <c r="D334" t="s">
        <v>18</v>
      </c>
      <c r="E334" s="2">
        <v>8989.4</v>
      </c>
      <c r="F334">
        <v>14</v>
      </c>
      <c r="G334" t="s">
        <v>39</v>
      </c>
      <c r="H334" s="2">
        <v>1612.93</v>
      </c>
      <c r="I334" s="2">
        <v>1964.15</v>
      </c>
      <c r="J334" t="s">
        <v>20</v>
      </c>
      <c r="K334">
        <v>0.24</v>
      </c>
      <c r="L334" t="s">
        <v>44</v>
      </c>
      <c r="M334" t="s">
        <v>32</v>
      </c>
      <c r="N334" t="s">
        <v>33</v>
      </c>
      <c r="O334" s="2">
        <f>_Salesdata[[#This Row],[Unit_Price]] * _Salesdata[[#This Row],[Quantity_Sold]]</f>
        <v>27498.100000000002</v>
      </c>
      <c r="P334" s="2">
        <f>_Salesdata[[#This Row],[Unit_Cost]] * _Salesdata[[#This Row],[Quantity_Sold]]</f>
        <v>22581.02</v>
      </c>
      <c r="Q334" s="2">
        <f>_Salesdata[[#This Row],[Gross_Sales]] - _Salesdata[[#This Row],[Total Cost]]</f>
        <v>4917.0800000000017</v>
      </c>
      <c r="R334" s="2"/>
    </row>
    <row r="335" spans="1:18" x14ac:dyDescent="0.25">
      <c r="A335">
        <v>1019</v>
      </c>
      <c r="B335" s="1">
        <v>45124</v>
      </c>
      <c r="C335" t="s">
        <v>30</v>
      </c>
      <c r="D335" t="s">
        <v>40</v>
      </c>
      <c r="E335" s="2">
        <v>7320.51</v>
      </c>
      <c r="F335">
        <v>14</v>
      </c>
      <c r="G335" t="s">
        <v>19</v>
      </c>
      <c r="H335" s="2">
        <v>1614.19</v>
      </c>
      <c r="I335" s="2">
        <v>1882.79</v>
      </c>
      <c r="J335" t="s">
        <v>27</v>
      </c>
      <c r="K335">
        <v>0.25</v>
      </c>
      <c r="L335" t="s">
        <v>28</v>
      </c>
      <c r="M335" t="s">
        <v>32</v>
      </c>
      <c r="N335" t="s">
        <v>41</v>
      </c>
      <c r="O335" s="2">
        <f>_Salesdata[[#This Row],[Unit_Price]] * _Salesdata[[#This Row],[Quantity_Sold]]</f>
        <v>26359.059999999998</v>
      </c>
      <c r="P335" s="2">
        <f>_Salesdata[[#This Row],[Unit_Cost]] * _Salesdata[[#This Row],[Quantity_Sold]]</f>
        <v>22598.66</v>
      </c>
      <c r="Q335" s="2">
        <f>_Salesdata[[#This Row],[Gross_Sales]] - _Salesdata[[#This Row],[Total Cost]]</f>
        <v>3760.3999999999978</v>
      </c>
      <c r="R335" s="2"/>
    </row>
    <row r="336" spans="1:18" x14ac:dyDescent="0.25">
      <c r="A336">
        <v>1027</v>
      </c>
      <c r="B336" s="1">
        <v>45108</v>
      </c>
      <c r="C336" t="s">
        <v>48</v>
      </c>
      <c r="D336" t="s">
        <v>37</v>
      </c>
      <c r="E336" s="2">
        <v>8666.43</v>
      </c>
      <c r="F336">
        <v>15</v>
      </c>
      <c r="G336" t="s">
        <v>19</v>
      </c>
      <c r="H336" s="2">
        <v>1615.26</v>
      </c>
      <c r="I336" s="2">
        <v>1710.95</v>
      </c>
      <c r="J336" t="s">
        <v>27</v>
      </c>
      <c r="K336">
        <v>0.23</v>
      </c>
      <c r="L336" t="s">
        <v>28</v>
      </c>
      <c r="M336" t="s">
        <v>32</v>
      </c>
      <c r="N336" t="s">
        <v>52</v>
      </c>
      <c r="O336" s="2">
        <f>_Salesdata[[#This Row],[Unit_Price]] * _Salesdata[[#This Row],[Quantity_Sold]]</f>
        <v>25664.25</v>
      </c>
      <c r="P336" s="2">
        <f>_Salesdata[[#This Row],[Unit_Cost]] * _Salesdata[[#This Row],[Quantity_Sold]]</f>
        <v>24228.9</v>
      </c>
      <c r="Q336" s="2">
        <f>_Salesdata[[#This Row],[Gross_Sales]] - _Salesdata[[#This Row],[Total Cost]]</f>
        <v>1435.3499999999985</v>
      </c>
      <c r="R336" s="2"/>
    </row>
    <row r="337" spans="1:18" x14ac:dyDescent="0.25">
      <c r="A337">
        <v>1033</v>
      </c>
      <c r="B337" s="1">
        <v>45239</v>
      </c>
      <c r="C337" t="s">
        <v>30</v>
      </c>
      <c r="D337" t="s">
        <v>18</v>
      </c>
      <c r="E337" s="2">
        <v>7370.99</v>
      </c>
      <c r="F337">
        <v>6</v>
      </c>
      <c r="G337" t="s">
        <v>19</v>
      </c>
      <c r="H337" s="2">
        <v>1621.07</v>
      </c>
      <c r="I337" s="2">
        <v>1687.5</v>
      </c>
      <c r="J337" t="s">
        <v>20</v>
      </c>
      <c r="K337">
        <v>0.12</v>
      </c>
      <c r="L337" t="s">
        <v>28</v>
      </c>
      <c r="M337" t="s">
        <v>22</v>
      </c>
      <c r="N337" t="s">
        <v>33</v>
      </c>
      <c r="O337" s="2">
        <f>_Salesdata[[#This Row],[Unit_Price]] * _Salesdata[[#This Row],[Quantity_Sold]]</f>
        <v>10125</v>
      </c>
      <c r="P337" s="2">
        <f>_Salesdata[[#This Row],[Unit_Cost]] * _Salesdata[[#This Row],[Quantity_Sold]]</f>
        <v>9726.42</v>
      </c>
      <c r="Q337" s="2">
        <f>_Salesdata[[#This Row],[Gross_Sales]] - _Salesdata[[#This Row],[Total Cost]]</f>
        <v>398.57999999999993</v>
      </c>
      <c r="R337" s="2"/>
    </row>
    <row r="338" spans="1:18" x14ac:dyDescent="0.25">
      <c r="A338">
        <v>1006</v>
      </c>
      <c r="B338" s="1">
        <v>45187</v>
      </c>
      <c r="C338" t="s">
        <v>30</v>
      </c>
      <c r="D338" t="s">
        <v>25</v>
      </c>
      <c r="E338" s="2">
        <v>776.7</v>
      </c>
      <c r="F338">
        <v>45</v>
      </c>
      <c r="G338" t="s">
        <v>39</v>
      </c>
      <c r="H338" s="2">
        <v>1623.63</v>
      </c>
      <c r="I338" s="2">
        <v>1814.63</v>
      </c>
      <c r="J338" t="s">
        <v>27</v>
      </c>
      <c r="K338">
        <v>0.28999999999999998</v>
      </c>
      <c r="L338" t="s">
        <v>44</v>
      </c>
      <c r="M338" t="s">
        <v>32</v>
      </c>
      <c r="N338" t="s">
        <v>45</v>
      </c>
      <c r="O338" s="2">
        <f>_Salesdata[[#This Row],[Unit_Price]] * _Salesdata[[#This Row],[Quantity_Sold]]</f>
        <v>81658.350000000006</v>
      </c>
      <c r="P338" s="2">
        <f>_Salesdata[[#This Row],[Unit_Cost]] * _Salesdata[[#This Row],[Quantity_Sold]]</f>
        <v>73063.350000000006</v>
      </c>
      <c r="Q338" s="2">
        <f>_Salesdata[[#This Row],[Gross_Sales]] - _Salesdata[[#This Row],[Total Cost]]</f>
        <v>8595</v>
      </c>
      <c r="R338" s="2"/>
    </row>
    <row r="339" spans="1:18" x14ac:dyDescent="0.25">
      <c r="A339">
        <v>1064</v>
      </c>
      <c r="B339" s="1">
        <v>45043</v>
      </c>
      <c r="C339" t="s">
        <v>17</v>
      </c>
      <c r="D339" t="s">
        <v>37</v>
      </c>
      <c r="E339" s="2">
        <v>717.7</v>
      </c>
      <c r="F339">
        <v>13</v>
      </c>
      <c r="G339" t="s">
        <v>19</v>
      </c>
      <c r="H339" s="2">
        <v>1645.51</v>
      </c>
      <c r="I339" s="2">
        <v>2045.53</v>
      </c>
      <c r="J339" t="s">
        <v>20</v>
      </c>
      <c r="K339">
        <v>0.28000000000000003</v>
      </c>
      <c r="L339" t="s">
        <v>21</v>
      </c>
      <c r="M339" t="s">
        <v>32</v>
      </c>
      <c r="N339" t="s">
        <v>47</v>
      </c>
      <c r="O339" s="2">
        <f>_Salesdata[[#This Row],[Unit_Price]] * _Salesdata[[#This Row],[Quantity_Sold]]</f>
        <v>26591.89</v>
      </c>
      <c r="P339" s="2">
        <f>_Salesdata[[#This Row],[Unit_Cost]] * _Salesdata[[#This Row],[Quantity_Sold]]</f>
        <v>21391.63</v>
      </c>
      <c r="Q339" s="2">
        <f>_Salesdata[[#This Row],[Gross_Sales]] - _Salesdata[[#This Row],[Total Cost]]</f>
        <v>5200.2599999999984</v>
      </c>
      <c r="R339" s="2"/>
    </row>
    <row r="340" spans="1:18" x14ac:dyDescent="0.25">
      <c r="A340">
        <v>1013</v>
      </c>
      <c r="B340" s="1">
        <v>45219</v>
      </c>
      <c r="C340" t="s">
        <v>30</v>
      </c>
      <c r="D340" t="s">
        <v>18</v>
      </c>
      <c r="E340" s="2">
        <v>6095.82</v>
      </c>
      <c r="F340">
        <v>46</v>
      </c>
      <c r="G340" t="s">
        <v>26</v>
      </c>
      <c r="H340" s="2">
        <v>1648.8</v>
      </c>
      <c r="I340" s="2">
        <v>1670.36</v>
      </c>
      <c r="J340" t="s">
        <v>20</v>
      </c>
      <c r="K340">
        <v>0.09</v>
      </c>
      <c r="L340" t="s">
        <v>28</v>
      </c>
      <c r="M340" t="s">
        <v>32</v>
      </c>
      <c r="N340" t="s">
        <v>33</v>
      </c>
      <c r="O340" s="2">
        <f>_Salesdata[[#This Row],[Unit_Price]] * _Salesdata[[#This Row],[Quantity_Sold]]</f>
        <v>76836.56</v>
      </c>
      <c r="P340" s="2">
        <f>_Salesdata[[#This Row],[Unit_Cost]] * _Salesdata[[#This Row],[Quantity_Sold]]</f>
        <v>75844.800000000003</v>
      </c>
      <c r="Q340" s="2">
        <f>_Salesdata[[#This Row],[Gross_Sales]] - _Salesdata[[#This Row],[Total Cost]]</f>
        <v>991.75999999999476</v>
      </c>
      <c r="R340" s="2"/>
    </row>
    <row r="341" spans="1:18" x14ac:dyDescent="0.25">
      <c r="A341">
        <v>1048</v>
      </c>
      <c r="B341" s="1">
        <v>44951</v>
      </c>
      <c r="C341" t="s">
        <v>48</v>
      </c>
      <c r="D341" t="s">
        <v>40</v>
      </c>
      <c r="E341" s="2">
        <v>4961.8500000000004</v>
      </c>
      <c r="F341">
        <v>7</v>
      </c>
      <c r="G341" t="s">
        <v>26</v>
      </c>
      <c r="H341" s="2">
        <v>1655.43</v>
      </c>
      <c r="I341" s="2">
        <v>2001.08</v>
      </c>
      <c r="J341" t="s">
        <v>27</v>
      </c>
      <c r="K341">
        <v>0.19</v>
      </c>
      <c r="L341" t="s">
        <v>44</v>
      </c>
      <c r="M341" t="s">
        <v>22</v>
      </c>
      <c r="N341" t="s">
        <v>50</v>
      </c>
      <c r="O341" s="2">
        <f>_Salesdata[[#This Row],[Unit_Price]] * _Salesdata[[#This Row],[Quantity_Sold]]</f>
        <v>14007.56</v>
      </c>
      <c r="P341" s="2">
        <f>_Salesdata[[#This Row],[Unit_Cost]] * _Salesdata[[#This Row],[Quantity_Sold]]</f>
        <v>11588.01</v>
      </c>
      <c r="Q341" s="2">
        <f>_Salesdata[[#This Row],[Gross_Sales]] - _Salesdata[[#This Row],[Total Cost]]</f>
        <v>2419.5499999999993</v>
      </c>
      <c r="R341" s="2"/>
    </row>
    <row r="342" spans="1:18" x14ac:dyDescent="0.25">
      <c r="A342">
        <v>1040</v>
      </c>
      <c r="B342" s="1">
        <v>45076</v>
      </c>
      <c r="C342" t="s">
        <v>24</v>
      </c>
      <c r="D342" t="s">
        <v>40</v>
      </c>
      <c r="E342" s="2">
        <v>4284.03</v>
      </c>
      <c r="F342">
        <v>47</v>
      </c>
      <c r="G342" t="s">
        <v>19</v>
      </c>
      <c r="H342" s="2">
        <v>1656.82</v>
      </c>
      <c r="I342" s="2">
        <v>1750.3799999999901</v>
      </c>
      <c r="J342" t="s">
        <v>27</v>
      </c>
      <c r="K342">
        <v>0.21</v>
      </c>
      <c r="L342" t="s">
        <v>28</v>
      </c>
      <c r="M342" t="s">
        <v>22</v>
      </c>
      <c r="N342" t="s">
        <v>55</v>
      </c>
      <c r="O342" s="2">
        <f>_Salesdata[[#This Row],[Unit_Price]] * _Salesdata[[#This Row],[Quantity_Sold]]</f>
        <v>82267.859999999535</v>
      </c>
      <c r="P342" s="2">
        <f>_Salesdata[[#This Row],[Unit_Cost]] * _Salesdata[[#This Row],[Quantity_Sold]]</f>
        <v>77870.539999999994</v>
      </c>
      <c r="Q342" s="2">
        <f>_Salesdata[[#This Row],[Gross_Sales]] - _Salesdata[[#This Row],[Total Cost]]</f>
        <v>4397.3199999995413</v>
      </c>
      <c r="R342" s="2"/>
    </row>
    <row r="343" spans="1:18" x14ac:dyDescent="0.25">
      <c r="A343">
        <v>1072</v>
      </c>
      <c r="B343" s="1">
        <v>45286</v>
      </c>
      <c r="C343" t="s">
        <v>35</v>
      </c>
      <c r="D343" t="s">
        <v>37</v>
      </c>
      <c r="E343" s="2">
        <v>3635.5</v>
      </c>
      <c r="F343">
        <v>23</v>
      </c>
      <c r="G343" t="s">
        <v>39</v>
      </c>
      <c r="H343" s="2">
        <v>1662.83</v>
      </c>
      <c r="I343" s="2">
        <v>2074.25</v>
      </c>
      <c r="J343" t="s">
        <v>27</v>
      </c>
      <c r="K343">
        <v>0.12</v>
      </c>
      <c r="L343" t="s">
        <v>44</v>
      </c>
      <c r="M343" t="s">
        <v>22</v>
      </c>
      <c r="N343" t="s">
        <v>38</v>
      </c>
      <c r="O343" s="2">
        <f>_Salesdata[[#This Row],[Unit_Price]] * _Salesdata[[#This Row],[Quantity_Sold]]</f>
        <v>47707.75</v>
      </c>
      <c r="P343" s="2">
        <f>_Salesdata[[#This Row],[Unit_Cost]] * _Salesdata[[#This Row],[Quantity_Sold]]</f>
        <v>38245.089999999997</v>
      </c>
      <c r="Q343" s="2">
        <f>_Salesdata[[#This Row],[Gross_Sales]] - _Salesdata[[#This Row],[Total Cost]]</f>
        <v>9462.6600000000035</v>
      </c>
      <c r="R343" s="2"/>
    </row>
    <row r="344" spans="1:18" x14ac:dyDescent="0.25">
      <c r="A344">
        <v>1075</v>
      </c>
      <c r="B344" s="1">
        <v>45235</v>
      </c>
      <c r="C344" t="s">
        <v>17</v>
      </c>
      <c r="D344" t="s">
        <v>18</v>
      </c>
      <c r="E344" s="2">
        <v>8127.7</v>
      </c>
      <c r="F344">
        <v>37</v>
      </c>
      <c r="G344" t="s">
        <v>31</v>
      </c>
      <c r="H344" s="2">
        <v>1675.51</v>
      </c>
      <c r="I344" s="2">
        <v>1906.6399999999901</v>
      </c>
      <c r="J344" t="s">
        <v>27</v>
      </c>
      <c r="K344">
        <v>0.13</v>
      </c>
      <c r="L344" t="s">
        <v>44</v>
      </c>
      <c r="M344" t="s">
        <v>22</v>
      </c>
      <c r="N344" t="s">
        <v>23</v>
      </c>
      <c r="O344" s="2">
        <f>_Salesdata[[#This Row],[Unit_Price]] * _Salesdata[[#This Row],[Quantity_Sold]]</f>
        <v>70545.679999999629</v>
      </c>
      <c r="P344" s="2">
        <f>_Salesdata[[#This Row],[Unit_Cost]] * _Salesdata[[#This Row],[Quantity_Sold]]</f>
        <v>61993.87</v>
      </c>
      <c r="Q344" s="2">
        <f>_Salesdata[[#This Row],[Gross_Sales]] - _Salesdata[[#This Row],[Total Cost]]</f>
        <v>8551.8099999996266</v>
      </c>
      <c r="R344" s="2"/>
    </row>
    <row r="345" spans="1:18" x14ac:dyDescent="0.25">
      <c r="A345">
        <v>1051</v>
      </c>
      <c r="B345" s="1">
        <v>45245</v>
      </c>
      <c r="C345" t="s">
        <v>24</v>
      </c>
      <c r="D345" t="s">
        <v>37</v>
      </c>
      <c r="E345" s="2">
        <v>4703.59</v>
      </c>
      <c r="F345">
        <v>23</v>
      </c>
      <c r="G345" t="s">
        <v>26</v>
      </c>
      <c r="H345" s="2">
        <v>1676.42</v>
      </c>
      <c r="I345" s="2">
        <v>2082.52</v>
      </c>
      <c r="J345" t="s">
        <v>27</v>
      </c>
      <c r="K345">
        <v>0.15</v>
      </c>
      <c r="L345" t="s">
        <v>44</v>
      </c>
      <c r="M345" t="s">
        <v>32</v>
      </c>
      <c r="N345" t="s">
        <v>53</v>
      </c>
      <c r="O345" s="2">
        <f>_Salesdata[[#This Row],[Unit_Price]] * _Salesdata[[#This Row],[Quantity_Sold]]</f>
        <v>47897.96</v>
      </c>
      <c r="P345" s="2">
        <f>_Salesdata[[#This Row],[Unit_Cost]] * _Salesdata[[#This Row],[Quantity_Sold]]</f>
        <v>38557.660000000003</v>
      </c>
      <c r="Q345" s="2">
        <f>_Salesdata[[#This Row],[Gross_Sales]] - _Salesdata[[#This Row],[Total Cost]]</f>
        <v>9340.2999999999956</v>
      </c>
      <c r="R345" s="2"/>
    </row>
    <row r="346" spans="1:18" x14ac:dyDescent="0.25">
      <c r="A346">
        <v>1062</v>
      </c>
      <c r="B346" s="1">
        <v>45127</v>
      </c>
      <c r="C346" t="s">
        <v>48</v>
      </c>
      <c r="D346" t="s">
        <v>37</v>
      </c>
      <c r="E346" s="2">
        <v>903.38</v>
      </c>
      <c r="F346">
        <v>48</v>
      </c>
      <c r="G346" t="s">
        <v>26</v>
      </c>
      <c r="H346" s="2">
        <v>1679.69</v>
      </c>
      <c r="I346" s="2">
        <v>1939.04</v>
      </c>
      <c r="J346" t="s">
        <v>27</v>
      </c>
      <c r="K346">
        <v>0.09</v>
      </c>
      <c r="L346" t="s">
        <v>28</v>
      </c>
      <c r="M346" t="s">
        <v>22</v>
      </c>
      <c r="N346" t="s">
        <v>52</v>
      </c>
      <c r="O346" s="2">
        <f>_Salesdata[[#This Row],[Unit_Price]] * _Salesdata[[#This Row],[Quantity_Sold]]</f>
        <v>93073.919999999998</v>
      </c>
      <c r="P346" s="2">
        <f>_Salesdata[[#This Row],[Unit_Cost]] * _Salesdata[[#This Row],[Quantity_Sold]]</f>
        <v>80625.119999999995</v>
      </c>
      <c r="Q346" s="2">
        <f>_Salesdata[[#This Row],[Gross_Sales]] - _Salesdata[[#This Row],[Total Cost]]</f>
        <v>12448.800000000003</v>
      </c>
      <c r="R346" s="2"/>
    </row>
    <row r="347" spans="1:18" x14ac:dyDescent="0.25">
      <c r="A347">
        <v>1006</v>
      </c>
      <c r="B347" s="1">
        <v>45083</v>
      </c>
      <c r="C347" t="s">
        <v>17</v>
      </c>
      <c r="D347" t="s">
        <v>18</v>
      </c>
      <c r="E347" s="2">
        <v>1044.45</v>
      </c>
      <c r="F347">
        <v>21</v>
      </c>
      <c r="G347" t="s">
        <v>26</v>
      </c>
      <c r="H347" s="2">
        <v>1701.62</v>
      </c>
      <c r="I347" s="2">
        <v>2193.2199999999998</v>
      </c>
      <c r="J347" t="s">
        <v>27</v>
      </c>
      <c r="K347">
        <v>0.22</v>
      </c>
      <c r="L347" t="s">
        <v>44</v>
      </c>
      <c r="M347" t="s">
        <v>32</v>
      </c>
      <c r="N347" t="s">
        <v>23</v>
      </c>
      <c r="O347" s="2">
        <f>_Salesdata[[#This Row],[Unit_Price]] * _Salesdata[[#This Row],[Quantity_Sold]]</f>
        <v>46057.619999999995</v>
      </c>
      <c r="P347" s="2">
        <f>_Salesdata[[#This Row],[Unit_Cost]] * _Salesdata[[#This Row],[Quantity_Sold]]</f>
        <v>35734.019999999997</v>
      </c>
      <c r="Q347" s="2">
        <f>_Salesdata[[#This Row],[Gross_Sales]] - _Salesdata[[#This Row],[Total Cost]]</f>
        <v>10323.599999999999</v>
      </c>
      <c r="R347" s="2"/>
    </row>
    <row r="348" spans="1:18" x14ac:dyDescent="0.25">
      <c r="A348">
        <v>1053</v>
      </c>
      <c r="B348" s="1">
        <v>45010</v>
      </c>
      <c r="C348" t="s">
        <v>17</v>
      </c>
      <c r="D348" t="s">
        <v>18</v>
      </c>
      <c r="E348" s="2">
        <v>7080.88</v>
      </c>
      <c r="F348">
        <v>1</v>
      </c>
      <c r="G348" t="s">
        <v>19</v>
      </c>
      <c r="H348" s="2">
        <v>1702.82</v>
      </c>
      <c r="I348" s="2">
        <v>1862.61</v>
      </c>
      <c r="J348" t="s">
        <v>20</v>
      </c>
      <c r="K348">
        <v>0.24</v>
      </c>
      <c r="L348" t="s">
        <v>21</v>
      </c>
      <c r="M348" t="s">
        <v>32</v>
      </c>
      <c r="N348" t="s">
        <v>23</v>
      </c>
      <c r="O348" s="2">
        <f>_Salesdata[[#This Row],[Unit_Price]] * _Salesdata[[#This Row],[Quantity_Sold]]</f>
        <v>1862.61</v>
      </c>
      <c r="P348" s="2">
        <f>_Salesdata[[#This Row],[Unit_Cost]] * _Salesdata[[#This Row],[Quantity_Sold]]</f>
        <v>1702.82</v>
      </c>
      <c r="Q348" s="2">
        <f>_Salesdata[[#This Row],[Gross_Sales]] - _Salesdata[[#This Row],[Total Cost]]</f>
        <v>159.78999999999996</v>
      </c>
      <c r="R348" s="2"/>
    </row>
    <row r="349" spans="1:18" x14ac:dyDescent="0.25">
      <c r="A349">
        <v>1050</v>
      </c>
      <c r="B349" s="1">
        <v>45243</v>
      </c>
      <c r="C349" t="s">
        <v>24</v>
      </c>
      <c r="D349" t="s">
        <v>37</v>
      </c>
      <c r="E349" s="2">
        <v>4638.47</v>
      </c>
      <c r="F349">
        <v>28</v>
      </c>
      <c r="G349" t="s">
        <v>31</v>
      </c>
      <c r="H349" s="2">
        <v>1711.63</v>
      </c>
      <c r="I349" s="2">
        <v>1951.24</v>
      </c>
      <c r="J349" t="s">
        <v>27</v>
      </c>
      <c r="K349">
        <v>0.22</v>
      </c>
      <c r="L349" t="s">
        <v>21</v>
      </c>
      <c r="M349" t="s">
        <v>22</v>
      </c>
      <c r="N349" t="s">
        <v>53</v>
      </c>
      <c r="O349" s="2">
        <f>_Salesdata[[#This Row],[Unit_Price]] * _Salesdata[[#This Row],[Quantity_Sold]]</f>
        <v>54634.720000000001</v>
      </c>
      <c r="P349" s="2">
        <f>_Salesdata[[#This Row],[Unit_Cost]] * _Salesdata[[#This Row],[Quantity_Sold]]</f>
        <v>47925.64</v>
      </c>
      <c r="Q349" s="2">
        <f>_Salesdata[[#This Row],[Gross_Sales]] - _Salesdata[[#This Row],[Total Cost]]</f>
        <v>6709.0800000000017</v>
      </c>
      <c r="R349" s="2"/>
    </row>
    <row r="350" spans="1:18" x14ac:dyDescent="0.25">
      <c r="A350">
        <v>1008</v>
      </c>
      <c r="B350" s="1">
        <v>45067</v>
      </c>
      <c r="C350" t="s">
        <v>30</v>
      </c>
      <c r="D350" t="s">
        <v>18</v>
      </c>
      <c r="E350" s="2">
        <v>5197.84</v>
      </c>
      <c r="F350">
        <v>37</v>
      </c>
      <c r="G350" t="s">
        <v>39</v>
      </c>
      <c r="H350" s="2">
        <v>1712.43</v>
      </c>
      <c r="I350" s="2">
        <v>1980.06</v>
      </c>
      <c r="J350" t="s">
        <v>27</v>
      </c>
      <c r="K350">
        <v>0.26</v>
      </c>
      <c r="L350" t="s">
        <v>21</v>
      </c>
      <c r="M350" t="s">
        <v>22</v>
      </c>
      <c r="N350" t="s">
        <v>33</v>
      </c>
      <c r="O350" s="2">
        <f>_Salesdata[[#This Row],[Unit_Price]] * _Salesdata[[#This Row],[Quantity_Sold]]</f>
        <v>73262.22</v>
      </c>
      <c r="P350" s="2">
        <f>_Salesdata[[#This Row],[Unit_Cost]] * _Salesdata[[#This Row],[Quantity_Sold]]</f>
        <v>63359.91</v>
      </c>
      <c r="Q350" s="2">
        <f>_Salesdata[[#This Row],[Gross_Sales]] - _Salesdata[[#This Row],[Total Cost]]</f>
        <v>9902.3099999999977</v>
      </c>
      <c r="R350" s="2"/>
    </row>
    <row r="351" spans="1:18" x14ac:dyDescent="0.25">
      <c r="A351">
        <v>1082</v>
      </c>
      <c r="B351" s="1">
        <v>45082</v>
      </c>
      <c r="C351" t="s">
        <v>35</v>
      </c>
      <c r="D351" t="s">
        <v>18</v>
      </c>
      <c r="E351" s="2">
        <v>3320.42</v>
      </c>
      <c r="F351">
        <v>15</v>
      </c>
      <c r="G351" t="s">
        <v>19</v>
      </c>
      <c r="H351" s="2">
        <v>1719.47</v>
      </c>
      <c r="I351" s="2">
        <v>1832.6</v>
      </c>
      <c r="J351" t="s">
        <v>20</v>
      </c>
      <c r="K351">
        <v>0.12</v>
      </c>
      <c r="L351" t="s">
        <v>28</v>
      </c>
      <c r="M351" t="s">
        <v>22</v>
      </c>
      <c r="N351" t="s">
        <v>36</v>
      </c>
      <c r="O351" s="2">
        <f>_Salesdata[[#This Row],[Unit_Price]] * _Salesdata[[#This Row],[Quantity_Sold]]</f>
        <v>27489</v>
      </c>
      <c r="P351" s="2">
        <f>_Salesdata[[#This Row],[Unit_Cost]] * _Salesdata[[#This Row],[Quantity_Sold]]</f>
        <v>25792.05</v>
      </c>
      <c r="Q351" s="2">
        <f>_Salesdata[[#This Row],[Gross_Sales]] - _Salesdata[[#This Row],[Total Cost]]</f>
        <v>1696.9500000000007</v>
      </c>
      <c r="R351" s="2"/>
    </row>
    <row r="352" spans="1:18" x14ac:dyDescent="0.25">
      <c r="A352">
        <v>1074</v>
      </c>
      <c r="B352" s="1">
        <v>45153</v>
      </c>
      <c r="C352" t="s">
        <v>30</v>
      </c>
      <c r="D352" t="s">
        <v>25</v>
      </c>
      <c r="E352" s="2">
        <v>289.38</v>
      </c>
      <c r="F352">
        <v>29</v>
      </c>
      <c r="G352" t="s">
        <v>39</v>
      </c>
      <c r="H352" s="2">
        <v>1723.01</v>
      </c>
      <c r="I352" s="2">
        <v>2197.42</v>
      </c>
      <c r="J352" t="s">
        <v>27</v>
      </c>
      <c r="K352">
        <v>7.0000000000000007E-2</v>
      </c>
      <c r="L352" t="s">
        <v>44</v>
      </c>
      <c r="M352" t="s">
        <v>32</v>
      </c>
      <c r="N352" t="s">
        <v>45</v>
      </c>
      <c r="O352" s="2">
        <f>_Salesdata[[#This Row],[Unit_Price]] * _Salesdata[[#This Row],[Quantity_Sold]]</f>
        <v>63725.18</v>
      </c>
      <c r="P352" s="2">
        <f>_Salesdata[[#This Row],[Unit_Cost]] * _Salesdata[[#This Row],[Quantity_Sold]]</f>
        <v>49967.29</v>
      </c>
      <c r="Q352" s="2">
        <f>_Salesdata[[#This Row],[Gross_Sales]] - _Salesdata[[#This Row],[Total Cost]]</f>
        <v>13757.89</v>
      </c>
      <c r="R352" s="2"/>
    </row>
    <row r="353" spans="1:18" x14ac:dyDescent="0.25">
      <c r="A353">
        <v>1096</v>
      </c>
      <c r="B353" s="1">
        <v>44959</v>
      </c>
      <c r="C353" t="s">
        <v>24</v>
      </c>
      <c r="D353" t="s">
        <v>18</v>
      </c>
      <c r="E353" s="2">
        <v>9289</v>
      </c>
      <c r="F353">
        <v>31</v>
      </c>
      <c r="G353" t="s">
        <v>26</v>
      </c>
      <c r="H353" s="2">
        <v>1724.24</v>
      </c>
      <c r="I353" s="2">
        <v>2036.2</v>
      </c>
      <c r="J353" t="s">
        <v>27</v>
      </c>
      <c r="K353">
        <v>0.17</v>
      </c>
      <c r="L353" t="s">
        <v>21</v>
      </c>
      <c r="M353" t="s">
        <v>22</v>
      </c>
      <c r="N353" t="s">
        <v>46</v>
      </c>
      <c r="O353" s="2">
        <f>_Salesdata[[#This Row],[Unit_Price]] * _Salesdata[[#This Row],[Quantity_Sold]]</f>
        <v>63122.200000000004</v>
      </c>
      <c r="P353" s="2">
        <f>_Salesdata[[#This Row],[Unit_Cost]] * _Salesdata[[#This Row],[Quantity_Sold]]</f>
        <v>53451.44</v>
      </c>
      <c r="Q353" s="2">
        <f>_Salesdata[[#This Row],[Gross_Sales]] - _Salesdata[[#This Row],[Total Cost]]</f>
        <v>9670.760000000002</v>
      </c>
      <c r="R353" s="2"/>
    </row>
    <row r="354" spans="1:18" x14ac:dyDescent="0.25">
      <c r="A354">
        <v>1002</v>
      </c>
      <c r="B354" s="1">
        <v>44930</v>
      </c>
      <c r="C354" t="s">
        <v>17</v>
      </c>
      <c r="D354" t="s">
        <v>18</v>
      </c>
      <c r="E354" s="2">
        <v>2716.34</v>
      </c>
      <c r="F354">
        <v>17</v>
      </c>
      <c r="G354" t="s">
        <v>39</v>
      </c>
      <c r="H354" s="2">
        <v>1727.12</v>
      </c>
      <c r="I354" s="2">
        <v>1865.83</v>
      </c>
      <c r="J354" t="s">
        <v>27</v>
      </c>
      <c r="K354">
        <v>0.21</v>
      </c>
      <c r="L354" t="s">
        <v>21</v>
      </c>
      <c r="M354" t="s">
        <v>22</v>
      </c>
      <c r="N354" t="s">
        <v>23</v>
      </c>
      <c r="O354" s="2">
        <f>_Salesdata[[#This Row],[Unit_Price]] * _Salesdata[[#This Row],[Quantity_Sold]]</f>
        <v>31719.11</v>
      </c>
      <c r="P354" s="2">
        <f>_Salesdata[[#This Row],[Unit_Cost]] * _Salesdata[[#This Row],[Quantity_Sold]]</f>
        <v>29361.039999999997</v>
      </c>
      <c r="Q354" s="2">
        <f>_Salesdata[[#This Row],[Gross_Sales]] - _Salesdata[[#This Row],[Total Cost]]</f>
        <v>2358.0700000000033</v>
      </c>
      <c r="R354" s="2"/>
    </row>
    <row r="355" spans="1:18" x14ac:dyDescent="0.25">
      <c r="A355">
        <v>1076</v>
      </c>
      <c r="B355" s="1">
        <v>45213</v>
      </c>
      <c r="C355" t="s">
        <v>35</v>
      </c>
      <c r="D355" t="s">
        <v>40</v>
      </c>
      <c r="E355" s="2">
        <v>8674.35</v>
      </c>
      <c r="F355">
        <v>23</v>
      </c>
      <c r="G355" t="s">
        <v>31</v>
      </c>
      <c r="H355" s="2">
        <v>1727.78</v>
      </c>
      <c r="I355" s="2">
        <v>1984.34</v>
      </c>
      <c r="J355" t="s">
        <v>20</v>
      </c>
      <c r="K355">
        <v>0.24</v>
      </c>
      <c r="L355" t="s">
        <v>44</v>
      </c>
      <c r="M355" t="s">
        <v>22</v>
      </c>
      <c r="N355" t="s">
        <v>43</v>
      </c>
      <c r="O355" s="2">
        <f>_Salesdata[[#This Row],[Unit_Price]] * _Salesdata[[#This Row],[Quantity_Sold]]</f>
        <v>45639.82</v>
      </c>
      <c r="P355" s="2">
        <f>_Salesdata[[#This Row],[Unit_Cost]] * _Salesdata[[#This Row],[Quantity_Sold]]</f>
        <v>39738.94</v>
      </c>
      <c r="Q355" s="2">
        <f>_Salesdata[[#This Row],[Gross_Sales]] - _Salesdata[[#This Row],[Total Cost]]</f>
        <v>5900.8799999999974</v>
      </c>
      <c r="R355" s="2"/>
    </row>
    <row r="356" spans="1:18" x14ac:dyDescent="0.25">
      <c r="A356">
        <v>1003</v>
      </c>
      <c r="B356" s="1">
        <v>45124</v>
      </c>
      <c r="C356" t="s">
        <v>48</v>
      </c>
      <c r="D356" t="s">
        <v>25</v>
      </c>
      <c r="E356" s="2">
        <v>5738.44</v>
      </c>
      <c r="F356">
        <v>15</v>
      </c>
      <c r="G356" t="s">
        <v>26</v>
      </c>
      <c r="H356" s="2">
        <v>1729.14</v>
      </c>
      <c r="I356" s="2">
        <v>1870.88</v>
      </c>
      <c r="J356" t="s">
        <v>20</v>
      </c>
      <c r="K356">
        <v>0.23</v>
      </c>
      <c r="L356" t="s">
        <v>21</v>
      </c>
      <c r="M356" t="s">
        <v>22</v>
      </c>
      <c r="N356" t="s">
        <v>49</v>
      </c>
      <c r="O356" s="2">
        <f>_Salesdata[[#This Row],[Unit_Price]] * _Salesdata[[#This Row],[Quantity_Sold]]</f>
        <v>28063.200000000001</v>
      </c>
      <c r="P356" s="2">
        <f>_Salesdata[[#This Row],[Unit_Cost]] * _Salesdata[[#This Row],[Quantity_Sold]]</f>
        <v>25937.100000000002</v>
      </c>
      <c r="Q356" s="2">
        <f>_Salesdata[[#This Row],[Gross_Sales]] - _Salesdata[[#This Row],[Total Cost]]</f>
        <v>2126.0999999999985</v>
      </c>
      <c r="R356" s="2"/>
    </row>
    <row r="357" spans="1:18" x14ac:dyDescent="0.25">
      <c r="A357">
        <v>1026</v>
      </c>
      <c r="B357" s="1">
        <v>45223</v>
      </c>
      <c r="C357" t="s">
        <v>30</v>
      </c>
      <c r="D357" t="s">
        <v>18</v>
      </c>
      <c r="E357" s="2">
        <v>2044.55</v>
      </c>
      <c r="F357">
        <v>45</v>
      </c>
      <c r="G357" t="s">
        <v>31</v>
      </c>
      <c r="H357" s="2">
        <v>1741.66</v>
      </c>
      <c r="I357" s="2">
        <v>2169.86</v>
      </c>
      <c r="J357" t="s">
        <v>20</v>
      </c>
      <c r="K357">
        <v>0.14000000000000001</v>
      </c>
      <c r="L357" t="s">
        <v>28</v>
      </c>
      <c r="M357" t="s">
        <v>22</v>
      </c>
      <c r="N357" t="s">
        <v>33</v>
      </c>
      <c r="O357" s="2">
        <f>_Salesdata[[#This Row],[Unit_Price]] * _Salesdata[[#This Row],[Quantity_Sold]]</f>
        <v>97643.700000000012</v>
      </c>
      <c r="P357" s="2">
        <f>_Salesdata[[#This Row],[Unit_Cost]] * _Salesdata[[#This Row],[Quantity_Sold]]</f>
        <v>78374.7</v>
      </c>
      <c r="Q357" s="2">
        <f>_Salesdata[[#This Row],[Gross_Sales]] - _Salesdata[[#This Row],[Total Cost]]</f>
        <v>19269.000000000015</v>
      </c>
      <c r="R357" s="2"/>
    </row>
    <row r="358" spans="1:18" x14ac:dyDescent="0.25">
      <c r="A358">
        <v>1092</v>
      </c>
      <c r="B358" s="1">
        <v>45160</v>
      </c>
      <c r="C358" t="s">
        <v>30</v>
      </c>
      <c r="D358" t="s">
        <v>18</v>
      </c>
      <c r="E358" s="2">
        <v>6250.8</v>
      </c>
      <c r="F358">
        <v>29</v>
      </c>
      <c r="G358" t="s">
        <v>19</v>
      </c>
      <c r="H358" s="2">
        <v>1742.24</v>
      </c>
      <c r="I358" s="2">
        <v>2070.52</v>
      </c>
      <c r="J358" t="s">
        <v>27</v>
      </c>
      <c r="K358">
        <v>0.12</v>
      </c>
      <c r="L358" t="s">
        <v>21</v>
      </c>
      <c r="M358" t="s">
        <v>22</v>
      </c>
      <c r="N358" t="s">
        <v>33</v>
      </c>
      <c r="O358" s="2">
        <f>_Salesdata[[#This Row],[Unit_Price]] * _Salesdata[[#This Row],[Quantity_Sold]]</f>
        <v>60045.08</v>
      </c>
      <c r="P358" s="2">
        <f>_Salesdata[[#This Row],[Unit_Cost]] * _Salesdata[[#This Row],[Quantity_Sold]]</f>
        <v>50524.959999999999</v>
      </c>
      <c r="Q358" s="2">
        <f>_Salesdata[[#This Row],[Gross_Sales]] - _Salesdata[[#This Row],[Total Cost]]</f>
        <v>9520.1200000000026</v>
      </c>
      <c r="R358" s="2"/>
    </row>
    <row r="359" spans="1:18" x14ac:dyDescent="0.25">
      <c r="A359">
        <v>1060</v>
      </c>
      <c r="B359" s="1">
        <v>45222</v>
      </c>
      <c r="C359" t="s">
        <v>17</v>
      </c>
      <c r="D359" t="s">
        <v>25</v>
      </c>
      <c r="E359" s="2">
        <v>6395.95</v>
      </c>
      <c r="F359">
        <v>46</v>
      </c>
      <c r="G359" t="s">
        <v>19</v>
      </c>
      <c r="H359" s="2">
        <v>1747.05</v>
      </c>
      <c r="I359" s="2">
        <v>1830.27</v>
      </c>
      <c r="J359" t="s">
        <v>27</v>
      </c>
      <c r="K359">
        <v>0.15</v>
      </c>
      <c r="L359" t="s">
        <v>44</v>
      </c>
      <c r="M359" t="s">
        <v>32</v>
      </c>
      <c r="N359" t="s">
        <v>34</v>
      </c>
      <c r="O359" s="2">
        <f>_Salesdata[[#This Row],[Unit_Price]] * _Salesdata[[#This Row],[Quantity_Sold]]</f>
        <v>84192.42</v>
      </c>
      <c r="P359" s="2">
        <f>_Salesdata[[#This Row],[Unit_Cost]] * _Salesdata[[#This Row],[Quantity_Sold]]</f>
        <v>80364.3</v>
      </c>
      <c r="Q359" s="2">
        <f>_Salesdata[[#This Row],[Gross_Sales]] - _Salesdata[[#This Row],[Total Cost]]</f>
        <v>3828.1199999999953</v>
      </c>
      <c r="R359" s="2"/>
    </row>
    <row r="360" spans="1:18" x14ac:dyDescent="0.25">
      <c r="A360">
        <v>1027</v>
      </c>
      <c r="B360" s="1">
        <v>44965</v>
      </c>
      <c r="C360" t="s">
        <v>24</v>
      </c>
      <c r="D360" t="s">
        <v>25</v>
      </c>
      <c r="E360" s="2">
        <v>7179.49</v>
      </c>
      <c r="F360">
        <v>20</v>
      </c>
      <c r="G360" t="s">
        <v>26</v>
      </c>
      <c r="H360" s="2">
        <v>1748.11</v>
      </c>
      <c r="I360" s="2">
        <v>2220.9</v>
      </c>
      <c r="J360" t="s">
        <v>27</v>
      </c>
      <c r="K360">
        <v>0.23</v>
      </c>
      <c r="L360" t="s">
        <v>28</v>
      </c>
      <c r="M360" t="s">
        <v>32</v>
      </c>
      <c r="N360" t="s">
        <v>29</v>
      </c>
      <c r="O360" s="2">
        <f>_Salesdata[[#This Row],[Unit_Price]] * _Salesdata[[#This Row],[Quantity_Sold]]</f>
        <v>44418</v>
      </c>
      <c r="P360" s="2">
        <f>_Salesdata[[#This Row],[Unit_Cost]] * _Salesdata[[#This Row],[Quantity_Sold]]</f>
        <v>34962.199999999997</v>
      </c>
      <c r="Q360" s="2">
        <f>_Salesdata[[#This Row],[Gross_Sales]] - _Salesdata[[#This Row],[Total Cost]]</f>
        <v>9455.8000000000029</v>
      </c>
      <c r="R360" s="2"/>
    </row>
    <row r="361" spans="1:18" x14ac:dyDescent="0.25">
      <c r="A361">
        <v>1075</v>
      </c>
      <c r="B361" s="1">
        <v>45092</v>
      </c>
      <c r="C361" t="s">
        <v>48</v>
      </c>
      <c r="D361" t="s">
        <v>37</v>
      </c>
      <c r="E361" s="2">
        <v>9736.49</v>
      </c>
      <c r="F361">
        <v>26</v>
      </c>
      <c r="G361" t="s">
        <v>39</v>
      </c>
      <c r="H361" s="2">
        <v>1749.34</v>
      </c>
      <c r="I361" s="2">
        <v>1935.25</v>
      </c>
      <c r="J361" t="s">
        <v>27</v>
      </c>
      <c r="K361">
        <v>0.14000000000000001</v>
      </c>
      <c r="L361" t="s">
        <v>28</v>
      </c>
      <c r="M361" t="s">
        <v>22</v>
      </c>
      <c r="N361" t="s">
        <v>52</v>
      </c>
      <c r="O361" s="2">
        <f>_Salesdata[[#This Row],[Unit_Price]] * _Salesdata[[#This Row],[Quantity_Sold]]</f>
        <v>50316.5</v>
      </c>
      <c r="P361" s="2">
        <f>_Salesdata[[#This Row],[Unit_Cost]] * _Salesdata[[#This Row],[Quantity_Sold]]</f>
        <v>45482.84</v>
      </c>
      <c r="Q361" s="2">
        <f>_Salesdata[[#This Row],[Gross_Sales]] - _Salesdata[[#This Row],[Total Cost]]</f>
        <v>4833.6600000000035</v>
      </c>
      <c r="R361" s="2"/>
    </row>
    <row r="362" spans="1:18" x14ac:dyDescent="0.25">
      <c r="A362">
        <v>1067</v>
      </c>
      <c r="B362" s="1">
        <v>45176</v>
      </c>
      <c r="C362" t="s">
        <v>17</v>
      </c>
      <c r="D362" t="s">
        <v>37</v>
      </c>
      <c r="E362" s="2">
        <v>4716.3599999999997</v>
      </c>
      <c r="F362">
        <v>37</v>
      </c>
      <c r="G362" t="s">
        <v>19</v>
      </c>
      <c r="H362" s="2">
        <v>1754.32</v>
      </c>
      <c r="I362" s="2">
        <v>1856.3999999999901</v>
      </c>
      <c r="J362" t="s">
        <v>27</v>
      </c>
      <c r="K362">
        <v>0.21</v>
      </c>
      <c r="L362" t="s">
        <v>44</v>
      </c>
      <c r="M362" t="s">
        <v>32</v>
      </c>
      <c r="N362" t="s">
        <v>47</v>
      </c>
      <c r="O362" s="2">
        <f>_Salesdata[[#This Row],[Unit_Price]] * _Salesdata[[#This Row],[Quantity_Sold]]</f>
        <v>68686.799999999639</v>
      </c>
      <c r="P362" s="2">
        <f>_Salesdata[[#This Row],[Unit_Cost]] * _Salesdata[[#This Row],[Quantity_Sold]]</f>
        <v>64909.84</v>
      </c>
      <c r="Q362" s="2">
        <f>_Salesdata[[#This Row],[Gross_Sales]] - _Salesdata[[#This Row],[Total Cost]]</f>
        <v>3776.9599999996426</v>
      </c>
      <c r="R362" s="2"/>
    </row>
    <row r="363" spans="1:18" x14ac:dyDescent="0.25">
      <c r="A363">
        <v>1076</v>
      </c>
      <c r="B363" s="1">
        <v>45190</v>
      </c>
      <c r="C363" t="s">
        <v>17</v>
      </c>
      <c r="D363" t="s">
        <v>37</v>
      </c>
      <c r="E363" s="2">
        <v>611.52</v>
      </c>
      <c r="F363">
        <v>26</v>
      </c>
      <c r="G363" t="s">
        <v>26</v>
      </c>
      <c r="H363" s="2">
        <v>1762</v>
      </c>
      <c r="I363" s="2">
        <v>2002.95</v>
      </c>
      <c r="J363" t="s">
        <v>20</v>
      </c>
      <c r="K363">
        <v>0.28999999999999998</v>
      </c>
      <c r="L363" t="s">
        <v>28</v>
      </c>
      <c r="M363" t="s">
        <v>32</v>
      </c>
      <c r="N363" t="s">
        <v>47</v>
      </c>
      <c r="O363" s="2">
        <f>_Salesdata[[#This Row],[Unit_Price]] * _Salesdata[[#This Row],[Quantity_Sold]]</f>
        <v>52076.700000000004</v>
      </c>
      <c r="P363" s="2">
        <f>_Salesdata[[#This Row],[Unit_Cost]] * _Salesdata[[#This Row],[Quantity_Sold]]</f>
        <v>45812</v>
      </c>
      <c r="Q363" s="2">
        <f>_Salesdata[[#This Row],[Gross_Sales]] - _Salesdata[[#This Row],[Total Cost]]</f>
        <v>6264.7000000000044</v>
      </c>
      <c r="R363" s="2"/>
    </row>
    <row r="364" spans="1:18" x14ac:dyDescent="0.25">
      <c r="A364">
        <v>1080</v>
      </c>
      <c r="B364" s="1">
        <v>44944</v>
      </c>
      <c r="C364" t="s">
        <v>35</v>
      </c>
      <c r="D364" t="s">
        <v>18</v>
      </c>
      <c r="E364" s="2">
        <v>5138.0200000000004</v>
      </c>
      <c r="F364">
        <v>44</v>
      </c>
      <c r="G364" t="s">
        <v>26</v>
      </c>
      <c r="H364" s="2">
        <v>1763.67</v>
      </c>
      <c r="I364" s="2">
        <v>1983.82</v>
      </c>
      <c r="J364" t="s">
        <v>27</v>
      </c>
      <c r="K364">
        <v>0.24</v>
      </c>
      <c r="L364" t="s">
        <v>28</v>
      </c>
      <c r="M364" t="s">
        <v>22</v>
      </c>
      <c r="N364" t="s">
        <v>36</v>
      </c>
      <c r="O364" s="2">
        <f>_Salesdata[[#This Row],[Unit_Price]] * _Salesdata[[#This Row],[Quantity_Sold]]</f>
        <v>87288.08</v>
      </c>
      <c r="P364" s="2">
        <f>_Salesdata[[#This Row],[Unit_Cost]] * _Salesdata[[#This Row],[Quantity_Sold]]</f>
        <v>77601.48000000001</v>
      </c>
      <c r="Q364" s="2">
        <f>_Salesdata[[#This Row],[Gross_Sales]] - _Salesdata[[#This Row],[Total Cost]]</f>
        <v>9686.5999999999913</v>
      </c>
      <c r="R364" s="2"/>
    </row>
    <row r="365" spans="1:18" x14ac:dyDescent="0.25">
      <c r="A365">
        <v>1069</v>
      </c>
      <c r="B365" s="1">
        <v>44933</v>
      </c>
      <c r="C365" t="s">
        <v>24</v>
      </c>
      <c r="D365" t="s">
        <v>18</v>
      </c>
      <c r="E365" s="2">
        <v>2574.5700000000002</v>
      </c>
      <c r="F365">
        <v>6</v>
      </c>
      <c r="G365" t="s">
        <v>31</v>
      </c>
      <c r="H365" s="2">
        <v>1768.6</v>
      </c>
      <c r="I365" s="2">
        <v>2152.1999999999998</v>
      </c>
      <c r="J365" t="s">
        <v>27</v>
      </c>
      <c r="K365">
        <v>0.25</v>
      </c>
      <c r="L365" t="s">
        <v>44</v>
      </c>
      <c r="M365" t="s">
        <v>32</v>
      </c>
      <c r="N365" t="s">
        <v>46</v>
      </c>
      <c r="O365" s="2">
        <f>_Salesdata[[#This Row],[Unit_Price]] * _Salesdata[[#This Row],[Quantity_Sold]]</f>
        <v>12913.199999999999</v>
      </c>
      <c r="P365" s="2">
        <f>_Salesdata[[#This Row],[Unit_Cost]] * _Salesdata[[#This Row],[Quantity_Sold]]</f>
        <v>10611.599999999999</v>
      </c>
      <c r="Q365" s="2">
        <f>_Salesdata[[#This Row],[Gross_Sales]] - _Salesdata[[#This Row],[Total Cost]]</f>
        <v>2301.6000000000004</v>
      </c>
      <c r="R365" s="2"/>
    </row>
    <row r="366" spans="1:18" x14ac:dyDescent="0.25">
      <c r="A366">
        <v>1017</v>
      </c>
      <c r="B366" s="1">
        <v>45122</v>
      </c>
      <c r="C366" t="s">
        <v>30</v>
      </c>
      <c r="D366" t="s">
        <v>37</v>
      </c>
      <c r="E366" s="2">
        <v>5705.19</v>
      </c>
      <c r="F366">
        <v>23</v>
      </c>
      <c r="G366" t="s">
        <v>26</v>
      </c>
      <c r="H366" s="2">
        <v>1771.52</v>
      </c>
      <c r="I366" s="2">
        <v>2147.8000000000002</v>
      </c>
      <c r="J366" t="s">
        <v>27</v>
      </c>
      <c r="K366">
        <v>7.0000000000000007E-2</v>
      </c>
      <c r="L366" t="s">
        <v>44</v>
      </c>
      <c r="M366" t="s">
        <v>22</v>
      </c>
      <c r="N366" t="s">
        <v>51</v>
      </c>
      <c r="O366" s="2">
        <f>_Salesdata[[#This Row],[Unit_Price]] * _Salesdata[[#This Row],[Quantity_Sold]]</f>
        <v>49399.4</v>
      </c>
      <c r="P366" s="2">
        <f>_Salesdata[[#This Row],[Unit_Cost]] * _Salesdata[[#This Row],[Quantity_Sold]]</f>
        <v>40744.959999999999</v>
      </c>
      <c r="Q366" s="2">
        <f>_Salesdata[[#This Row],[Gross_Sales]] - _Salesdata[[#This Row],[Total Cost]]</f>
        <v>8654.4400000000023</v>
      </c>
      <c r="R366" s="2"/>
    </row>
    <row r="367" spans="1:18" x14ac:dyDescent="0.25">
      <c r="A367">
        <v>1059</v>
      </c>
      <c r="B367" s="1">
        <v>45238</v>
      </c>
      <c r="C367" t="s">
        <v>30</v>
      </c>
      <c r="D367" t="s">
        <v>40</v>
      </c>
      <c r="E367" s="2">
        <v>8466.7000000000007</v>
      </c>
      <c r="F367">
        <v>17</v>
      </c>
      <c r="G367" t="s">
        <v>19</v>
      </c>
      <c r="H367" s="2">
        <v>1780.14</v>
      </c>
      <c r="I367" s="2">
        <v>2185.42</v>
      </c>
      <c r="J367" t="s">
        <v>20</v>
      </c>
      <c r="K367">
        <v>0.15</v>
      </c>
      <c r="L367" t="s">
        <v>28</v>
      </c>
      <c r="M367" t="s">
        <v>32</v>
      </c>
      <c r="N367" t="s">
        <v>41</v>
      </c>
      <c r="O367" s="2">
        <f>_Salesdata[[#This Row],[Unit_Price]] * _Salesdata[[#This Row],[Quantity_Sold]]</f>
        <v>37152.14</v>
      </c>
      <c r="P367" s="2">
        <f>_Salesdata[[#This Row],[Unit_Cost]] * _Salesdata[[#This Row],[Quantity_Sold]]</f>
        <v>30262.38</v>
      </c>
      <c r="Q367" s="2">
        <f>_Salesdata[[#This Row],[Gross_Sales]] - _Salesdata[[#This Row],[Total Cost]]</f>
        <v>6889.7599999999984</v>
      </c>
      <c r="R367" s="2"/>
    </row>
    <row r="368" spans="1:18" x14ac:dyDescent="0.25">
      <c r="A368">
        <v>1020</v>
      </c>
      <c r="B368" s="1">
        <v>45004</v>
      </c>
      <c r="C368" t="s">
        <v>48</v>
      </c>
      <c r="D368" t="s">
        <v>25</v>
      </c>
      <c r="E368" s="2">
        <v>9335.9599999999991</v>
      </c>
      <c r="F368">
        <v>19</v>
      </c>
      <c r="G368" t="s">
        <v>31</v>
      </c>
      <c r="H368" s="2">
        <v>1783.48</v>
      </c>
      <c r="I368" s="2">
        <v>1931.56</v>
      </c>
      <c r="J368" t="s">
        <v>20</v>
      </c>
      <c r="K368">
        <v>0.27</v>
      </c>
      <c r="L368" t="s">
        <v>44</v>
      </c>
      <c r="M368" t="s">
        <v>32</v>
      </c>
      <c r="N368" t="s">
        <v>49</v>
      </c>
      <c r="O368" s="2">
        <f>_Salesdata[[#This Row],[Unit_Price]] * _Salesdata[[#This Row],[Quantity_Sold]]</f>
        <v>36699.64</v>
      </c>
      <c r="P368" s="2">
        <f>_Salesdata[[#This Row],[Unit_Cost]] * _Salesdata[[#This Row],[Quantity_Sold]]</f>
        <v>33886.120000000003</v>
      </c>
      <c r="Q368" s="2">
        <f>_Salesdata[[#This Row],[Gross_Sales]] - _Salesdata[[#This Row],[Total Cost]]</f>
        <v>2813.5199999999968</v>
      </c>
      <c r="R368" s="2"/>
    </row>
    <row r="369" spans="1:18" x14ac:dyDescent="0.25">
      <c r="A369">
        <v>1088</v>
      </c>
      <c r="B369" s="1">
        <v>45236</v>
      </c>
      <c r="C369" t="s">
        <v>30</v>
      </c>
      <c r="D369" t="s">
        <v>40</v>
      </c>
      <c r="E369" s="2">
        <v>6772.54</v>
      </c>
      <c r="F369">
        <v>8</v>
      </c>
      <c r="G369" t="s">
        <v>31</v>
      </c>
      <c r="H369" s="2">
        <v>1786.35</v>
      </c>
      <c r="I369" s="2">
        <v>1935.29</v>
      </c>
      <c r="J369" t="s">
        <v>27</v>
      </c>
      <c r="K369">
        <v>0.04</v>
      </c>
      <c r="L369" t="s">
        <v>21</v>
      </c>
      <c r="M369" t="s">
        <v>22</v>
      </c>
      <c r="N369" t="s">
        <v>41</v>
      </c>
      <c r="O369" s="2">
        <f>_Salesdata[[#This Row],[Unit_Price]] * _Salesdata[[#This Row],[Quantity_Sold]]</f>
        <v>15482.32</v>
      </c>
      <c r="P369" s="2">
        <f>_Salesdata[[#This Row],[Unit_Cost]] * _Salesdata[[#This Row],[Quantity_Sold]]</f>
        <v>14290.8</v>
      </c>
      <c r="Q369" s="2">
        <f>_Salesdata[[#This Row],[Gross_Sales]] - _Salesdata[[#This Row],[Total Cost]]</f>
        <v>1191.5200000000004</v>
      </c>
      <c r="R369" s="2"/>
    </row>
    <row r="370" spans="1:18" x14ac:dyDescent="0.25">
      <c r="A370">
        <v>1001</v>
      </c>
      <c r="B370" s="1">
        <v>45143</v>
      </c>
      <c r="C370" t="s">
        <v>17</v>
      </c>
      <c r="D370" t="s">
        <v>37</v>
      </c>
      <c r="E370" s="2">
        <v>8247.5400000000009</v>
      </c>
      <c r="F370">
        <v>4</v>
      </c>
      <c r="G370" t="s">
        <v>31</v>
      </c>
      <c r="H370" s="2">
        <v>1791.83</v>
      </c>
      <c r="I370" s="2">
        <v>1871.22</v>
      </c>
      <c r="J370" t="s">
        <v>20</v>
      </c>
      <c r="K370">
        <v>0.12</v>
      </c>
      <c r="L370" t="s">
        <v>44</v>
      </c>
      <c r="M370" t="s">
        <v>22</v>
      </c>
      <c r="N370" t="s">
        <v>47</v>
      </c>
      <c r="O370" s="2">
        <f>_Salesdata[[#This Row],[Unit_Price]] * _Salesdata[[#This Row],[Quantity_Sold]]</f>
        <v>7484.88</v>
      </c>
      <c r="P370" s="2">
        <f>_Salesdata[[#This Row],[Unit_Cost]] * _Salesdata[[#This Row],[Quantity_Sold]]</f>
        <v>7167.32</v>
      </c>
      <c r="Q370" s="2">
        <f>_Salesdata[[#This Row],[Gross_Sales]] - _Salesdata[[#This Row],[Total Cost]]</f>
        <v>317.5600000000004</v>
      </c>
      <c r="R370" s="2"/>
    </row>
    <row r="371" spans="1:18" x14ac:dyDescent="0.25">
      <c r="A371">
        <v>1003</v>
      </c>
      <c r="B371" s="1">
        <v>44947</v>
      </c>
      <c r="C371" t="s">
        <v>35</v>
      </c>
      <c r="D371" t="s">
        <v>37</v>
      </c>
      <c r="E371" s="2">
        <v>6395.81</v>
      </c>
      <c r="F371">
        <v>3</v>
      </c>
      <c r="G371" t="s">
        <v>39</v>
      </c>
      <c r="H371" s="2">
        <v>1792.05</v>
      </c>
      <c r="I371" s="2">
        <v>2091.23</v>
      </c>
      <c r="J371" t="s">
        <v>20</v>
      </c>
      <c r="K371">
        <v>0.09</v>
      </c>
      <c r="L371" t="s">
        <v>21</v>
      </c>
      <c r="M371" t="s">
        <v>32</v>
      </c>
      <c r="N371" t="s">
        <v>38</v>
      </c>
      <c r="O371" s="2">
        <f>_Salesdata[[#This Row],[Unit_Price]] * _Salesdata[[#This Row],[Quantity_Sold]]</f>
        <v>6273.6900000000005</v>
      </c>
      <c r="P371" s="2">
        <f>_Salesdata[[#This Row],[Unit_Cost]] * _Salesdata[[#This Row],[Quantity_Sold]]</f>
        <v>5376.15</v>
      </c>
      <c r="Q371" s="2">
        <f>_Salesdata[[#This Row],[Gross_Sales]] - _Salesdata[[#This Row],[Total Cost]]</f>
        <v>897.54000000000087</v>
      </c>
      <c r="R371" s="2"/>
    </row>
    <row r="372" spans="1:18" x14ac:dyDescent="0.25">
      <c r="A372">
        <v>1044</v>
      </c>
      <c r="B372" s="1">
        <v>45228</v>
      </c>
      <c r="C372" t="s">
        <v>35</v>
      </c>
      <c r="D372" t="s">
        <v>37</v>
      </c>
      <c r="E372" s="2">
        <v>1996.77</v>
      </c>
      <c r="F372">
        <v>11</v>
      </c>
      <c r="G372" t="s">
        <v>19</v>
      </c>
      <c r="H372" s="2">
        <v>1812.66</v>
      </c>
      <c r="I372" s="2">
        <v>2196.3000000000002</v>
      </c>
      <c r="J372" t="s">
        <v>27</v>
      </c>
      <c r="K372">
        <v>0.08</v>
      </c>
      <c r="L372" t="s">
        <v>21</v>
      </c>
      <c r="M372" t="s">
        <v>22</v>
      </c>
      <c r="N372" t="s">
        <v>38</v>
      </c>
      <c r="O372" s="2">
        <f>_Salesdata[[#This Row],[Unit_Price]] * _Salesdata[[#This Row],[Quantity_Sold]]</f>
        <v>24159.300000000003</v>
      </c>
      <c r="P372" s="2">
        <f>_Salesdata[[#This Row],[Unit_Cost]] * _Salesdata[[#This Row],[Quantity_Sold]]</f>
        <v>19939.260000000002</v>
      </c>
      <c r="Q372" s="2">
        <f>_Salesdata[[#This Row],[Gross_Sales]] - _Salesdata[[#This Row],[Total Cost]]</f>
        <v>4220.0400000000009</v>
      </c>
      <c r="R372" s="2"/>
    </row>
    <row r="373" spans="1:18" x14ac:dyDescent="0.25">
      <c r="A373">
        <v>1100</v>
      </c>
      <c r="B373" s="1">
        <v>45192</v>
      </c>
      <c r="C373" t="s">
        <v>35</v>
      </c>
      <c r="D373" t="s">
        <v>37</v>
      </c>
      <c r="E373" s="2">
        <v>797.87</v>
      </c>
      <c r="F373">
        <v>19</v>
      </c>
      <c r="G373" t="s">
        <v>26</v>
      </c>
      <c r="H373" s="2">
        <v>1820.89</v>
      </c>
      <c r="I373" s="2">
        <v>2257.92</v>
      </c>
      <c r="J373" t="s">
        <v>27</v>
      </c>
      <c r="K373">
        <v>0.12</v>
      </c>
      <c r="L373" t="s">
        <v>21</v>
      </c>
      <c r="M373" t="s">
        <v>32</v>
      </c>
      <c r="N373" t="s">
        <v>38</v>
      </c>
      <c r="O373" s="2">
        <f>_Salesdata[[#This Row],[Unit_Price]] * _Salesdata[[#This Row],[Quantity_Sold]]</f>
        <v>42900.480000000003</v>
      </c>
      <c r="P373" s="2">
        <f>_Salesdata[[#This Row],[Unit_Cost]] * _Salesdata[[#This Row],[Quantity_Sold]]</f>
        <v>34596.910000000003</v>
      </c>
      <c r="Q373" s="2">
        <f>_Salesdata[[#This Row],[Gross_Sales]] - _Salesdata[[#This Row],[Total Cost]]</f>
        <v>8303.57</v>
      </c>
      <c r="R373" s="2"/>
    </row>
    <row r="374" spans="1:18" x14ac:dyDescent="0.25">
      <c r="A374">
        <v>1057</v>
      </c>
      <c r="B374" s="1">
        <v>45187</v>
      </c>
      <c r="C374" t="s">
        <v>35</v>
      </c>
      <c r="D374" t="s">
        <v>25</v>
      </c>
      <c r="E374" s="2">
        <v>7315.73</v>
      </c>
      <c r="F374">
        <v>25</v>
      </c>
      <c r="G374" t="s">
        <v>31</v>
      </c>
      <c r="H374" s="2">
        <v>1821.91</v>
      </c>
      <c r="I374" s="2">
        <v>2027.74</v>
      </c>
      <c r="J374" t="s">
        <v>27</v>
      </c>
      <c r="K374">
        <v>0.02</v>
      </c>
      <c r="L374" t="s">
        <v>44</v>
      </c>
      <c r="M374" t="s">
        <v>32</v>
      </c>
      <c r="N374" t="s">
        <v>56</v>
      </c>
      <c r="O374" s="2">
        <f>_Salesdata[[#This Row],[Unit_Price]] * _Salesdata[[#This Row],[Quantity_Sold]]</f>
        <v>50693.5</v>
      </c>
      <c r="P374" s="2">
        <f>_Salesdata[[#This Row],[Unit_Cost]] * _Salesdata[[#This Row],[Quantity_Sold]]</f>
        <v>45547.75</v>
      </c>
      <c r="Q374" s="2">
        <f>_Salesdata[[#This Row],[Gross_Sales]] - _Salesdata[[#This Row],[Total Cost]]</f>
        <v>5145.75</v>
      </c>
      <c r="R374" s="2"/>
    </row>
    <row r="375" spans="1:18" x14ac:dyDescent="0.25">
      <c r="A375">
        <v>1046</v>
      </c>
      <c r="B375" s="1">
        <v>45193</v>
      </c>
      <c r="C375" t="s">
        <v>35</v>
      </c>
      <c r="D375" t="s">
        <v>25</v>
      </c>
      <c r="E375" s="2">
        <v>4695.96</v>
      </c>
      <c r="F375">
        <v>41</v>
      </c>
      <c r="G375" t="s">
        <v>19</v>
      </c>
      <c r="H375" s="2">
        <v>1825.37</v>
      </c>
      <c r="I375" s="2">
        <v>2073.88</v>
      </c>
      <c r="J375" t="s">
        <v>20</v>
      </c>
      <c r="K375">
        <v>0.27</v>
      </c>
      <c r="L375" t="s">
        <v>21</v>
      </c>
      <c r="M375" t="s">
        <v>32</v>
      </c>
      <c r="N375" t="s">
        <v>56</v>
      </c>
      <c r="O375" s="2">
        <f>_Salesdata[[#This Row],[Unit_Price]] * _Salesdata[[#This Row],[Quantity_Sold]]</f>
        <v>85029.08</v>
      </c>
      <c r="P375" s="2">
        <f>_Salesdata[[#This Row],[Unit_Cost]] * _Salesdata[[#This Row],[Quantity_Sold]]</f>
        <v>74840.17</v>
      </c>
      <c r="Q375" s="2">
        <f>_Salesdata[[#This Row],[Gross_Sales]] - _Salesdata[[#This Row],[Total Cost]]</f>
        <v>10188.910000000003</v>
      </c>
      <c r="R375" s="2"/>
    </row>
    <row r="376" spans="1:18" x14ac:dyDescent="0.25">
      <c r="A376">
        <v>1022</v>
      </c>
      <c r="B376" s="1">
        <v>45289</v>
      </c>
      <c r="C376" t="s">
        <v>30</v>
      </c>
      <c r="D376" t="s">
        <v>37</v>
      </c>
      <c r="E376" s="2">
        <v>4557.5200000000004</v>
      </c>
      <c r="F376">
        <v>10</v>
      </c>
      <c r="G376" t="s">
        <v>39</v>
      </c>
      <c r="H376" s="2">
        <v>1830.61</v>
      </c>
      <c r="I376" s="2">
        <v>2044.04</v>
      </c>
      <c r="J376" t="s">
        <v>27</v>
      </c>
      <c r="K376">
        <v>0.11</v>
      </c>
      <c r="L376" t="s">
        <v>21</v>
      </c>
      <c r="M376" t="s">
        <v>22</v>
      </c>
      <c r="N376" t="s">
        <v>51</v>
      </c>
      <c r="O376" s="2">
        <f>_Salesdata[[#This Row],[Unit_Price]] * _Salesdata[[#This Row],[Quantity_Sold]]</f>
        <v>20440.400000000001</v>
      </c>
      <c r="P376" s="2">
        <f>_Salesdata[[#This Row],[Unit_Cost]] * _Salesdata[[#This Row],[Quantity_Sold]]</f>
        <v>18306.099999999999</v>
      </c>
      <c r="Q376" s="2">
        <f>_Salesdata[[#This Row],[Gross_Sales]] - _Salesdata[[#This Row],[Total Cost]]</f>
        <v>2134.3000000000029</v>
      </c>
      <c r="R376" s="2"/>
    </row>
    <row r="377" spans="1:18" x14ac:dyDescent="0.25">
      <c r="A377">
        <v>1078</v>
      </c>
      <c r="B377" s="1">
        <v>45020</v>
      </c>
      <c r="C377" t="s">
        <v>30</v>
      </c>
      <c r="D377" t="s">
        <v>18</v>
      </c>
      <c r="E377" s="2">
        <v>9631.41</v>
      </c>
      <c r="F377">
        <v>49</v>
      </c>
      <c r="G377" t="s">
        <v>39</v>
      </c>
      <c r="H377" s="2">
        <v>1833.95</v>
      </c>
      <c r="I377" s="2">
        <v>2147.14</v>
      </c>
      <c r="J377" t="s">
        <v>20</v>
      </c>
      <c r="K377">
        <v>0.18</v>
      </c>
      <c r="L377" t="s">
        <v>28</v>
      </c>
      <c r="M377" t="s">
        <v>32</v>
      </c>
      <c r="N377" t="s">
        <v>33</v>
      </c>
      <c r="O377" s="2">
        <f>_Salesdata[[#This Row],[Unit_Price]] * _Salesdata[[#This Row],[Quantity_Sold]]</f>
        <v>105209.86</v>
      </c>
      <c r="P377" s="2">
        <f>_Salesdata[[#This Row],[Unit_Cost]] * _Salesdata[[#This Row],[Quantity_Sold]]</f>
        <v>89863.55</v>
      </c>
      <c r="Q377" s="2">
        <f>_Salesdata[[#This Row],[Gross_Sales]] - _Salesdata[[#This Row],[Total Cost]]</f>
        <v>15346.309999999998</v>
      </c>
      <c r="R377" s="2"/>
    </row>
    <row r="378" spans="1:18" x14ac:dyDescent="0.25">
      <c r="A378">
        <v>1005</v>
      </c>
      <c r="B378" s="1">
        <v>45010</v>
      </c>
      <c r="C378" t="s">
        <v>17</v>
      </c>
      <c r="D378" t="s">
        <v>25</v>
      </c>
      <c r="E378" s="2">
        <v>7442.25</v>
      </c>
      <c r="F378">
        <v>14</v>
      </c>
      <c r="G378" t="s">
        <v>19</v>
      </c>
      <c r="H378" s="2">
        <v>1861.2</v>
      </c>
      <c r="I378" s="2">
        <v>2075.35</v>
      </c>
      <c r="J378" t="s">
        <v>20</v>
      </c>
      <c r="K378">
        <v>0.1</v>
      </c>
      <c r="L378" t="s">
        <v>28</v>
      </c>
      <c r="M378" t="s">
        <v>32</v>
      </c>
      <c r="N378" t="s">
        <v>34</v>
      </c>
      <c r="O378" s="2">
        <f>_Salesdata[[#This Row],[Unit_Price]] * _Salesdata[[#This Row],[Quantity_Sold]]</f>
        <v>29054.899999999998</v>
      </c>
      <c r="P378" s="2">
        <f>_Salesdata[[#This Row],[Unit_Cost]] * _Salesdata[[#This Row],[Quantity_Sold]]</f>
        <v>26056.799999999999</v>
      </c>
      <c r="Q378" s="2">
        <f>_Salesdata[[#This Row],[Gross_Sales]] - _Salesdata[[#This Row],[Total Cost]]</f>
        <v>2998.0999999999985</v>
      </c>
      <c r="R378" s="2"/>
    </row>
    <row r="379" spans="1:18" x14ac:dyDescent="0.25">
      <c r="A379">
        <v>1057</v>
      </c>
      <c r="B379" s="1">
        <v>45079</v>
      </c>
      <c r="C379" t="s">
        <v>17</v>
      </c>
      <c r="D379" t="s">
        <v>40</v>
      </c>
      <c r="E379" s="2">
        <v>9653.65</v>
      </c>
      <c r="F379">
        <v>12</v>
      </c>
      <c r="G379" t="s">
        <v>26</v>
      </c>
      <c r="H379" s="2">
        <v>1878.3</v>
      </c>
      <c r="I379" s="2">
        <v>2087.4499999999998</v>
      </c>
      <c r="J379" t="s">
        <v>27</v>
      </c>
      <c r="K379">
        <v>0.05</v>
      </c>
      <c r="L379" t="s">
        <v>44</v>
      </c>
      <c r="M379" t="s">
        <v>32</v>
      </c>
      <c r="N379" t="s">
        <v>42</v>
      </c>
      <c r="O379" s="2">
        <f>_Salesdata[[#This Row],[Unit_Price]] * _Salesdata[[#This Row],[Quantity_Sold]]</f>
        <v>25049.399999999998</v>
      </c>
      <c r="P379" s="2">
        <f>_Salesdata[[#This Row],[Unit_Cost]] * _Salesdata[[#This Row],[Quantity_Sold]]</f>
        <v>22539.599999999999</v>
      </c>
      <c r="Q379" s="2">
        <f>_Salesdata[[#This Row],[Gross_Sales]] - _Salesdata[[#This Row],[Total Cost]]</f>
        <v>2509.7999999999993</v>
      </c>
      <c r="R379" s="2"/>
    </row>
    <row r="380" spans="1:18" x14ac:dyDescent="0.25">
      <c r="A380">
        <v>1097</v>
      </c>
      <c r="B380" s="1">
        <v>45011</v>
      </c>
      <c r="C380" t="s">
        <v>30</v>
      </c>
      <c r="D380" t="s">
        <v>18</v>
      </c>
      <c r="E380" s="2">
        <v>6286.25</v>
      </c>
      <c r="F380">
        <v>7</v>
      </c>
      <c r="G380" t="s">
        <v>19</v>
      </c>
      <c r="H380" s="2">
        <v>1896.35</v>
      </c>
      <c r="I380" s="2">
        <v>2394.1999999999998</v>
      </c>
      <c r="J380" t="s">
        <v>27</v>
      </c>
      <c r="K380">
        <v>0.22</v>
      </c>
      <c r="L380" t="s">
        <v>44</v>
      </c>
      <c r="M380" t="s">
        <v>22</v>
      </c>
      <c r="N380" t="s">
        <v>33</v>
      </c>
      <c r="O380" s="2">
        <f>_Salesdata[[#This Row],[Unit_Price]] * _Salesdata[[#This Row],[Quantity_Sold]]</f>
        <v>16759.399999999998</v>
      </c>
      <c r="P380" s="2">
        <f>_Salesdata[[#This Row],[Unit_Cost]] * _Salesdata[[#This Row],[Quantity_Sold]]</f>
        <v>13274.449999999999</v>
      </c>
      <c r="Q380" s="2">
        <f>_Salesdata[[#This Row],[Gross_Sales]] - _Salesdata[[#This Row],[Total Cost]]</f>
        <v>3484.9499999999989</v>
      </c>
      <c r="R380" s="2"/>
    </row>
    <row r="381" spans="1:18" x14ac:dyDescent="0.25">
      <c r="A381">
        <v>1058</v>
      </c>
      <c r="B381" s="1">
        <v>45291</v>
      </c>
      <c r="C381" t="s">
        <v>24</v>
      </c>
      <c r="D381" t="s">
        <v>25</v>
      </c>
      <c r="E381" s="2">
        <v>4643.51</v>
      </c>
      <c r="F381">
        <v>44</v>
      </c>
      <c r="G381" t="s">
        <v>19</v>
      </c>
      <c r="H381" s="2">
        <v>1910.47</v>
      </c>
      <c r="I381" s="2">
        <v>2217.8000000000002</v>
      </c>
      <c r="J381" t="s">
        <v>27</v>
      </c>
      <c r="K381">
        <v>0.22</v>
      </c>
      <c r="L381" t="s">
        <v>44</v>
      </c>
      <c r="M381" t="s">
        <v>22</v>
      </c>
      <c r="N381" t="s">
        <v>29</v>
      </c>
      <c r="O381" s="2">
        <f>_Salesdata[[#This Row],[Unit_Price]] * _Salesdata[[#This Row],[Quantity_Sold]]</f>
        <v>97583.200000000012</v>
      </c>
      <c r="P381" s="2">
        <f>_Salesdata[[#This Row],[Unit_Cost]] * _Salesdata[[#This Row],[Quantity_Sold]]</f>
        <v>84060.680000000008</v>
      </c>
      <c r="Q381" s="2">
        <f>_Salesdata[[#This Row],[Gross_Sales]] - _Salesdata[[#This Row],[Total Cost]]</f>
        <v>13522.520000000004</v>
      </c>
      <c r="R381" s="2"/>
    </row>
    <row r="382" spans="1:18" x14ac:dyDescent="0.25">
      <c r="A382">
        <v>1007</v>
      </c>
      <c r="B382" s="1">
        <v>44975</v>
      </c>
      <c r="C382" t="s">
        <v>24</v>
      </c>
      <c r="D382" t="s">
        <v>40</v>
      </c>
      <c r="E382" s="2">
        <v>876.71</v>
      </c>
      <c r="F382">
        <v>34</v>
      </c>
      <c r="G382" t="s">
        <v>19</v>
      </c>
      <c r="H382" s="2">
        <v>1921.07</v>
      </c>
      <c r="I382" s="2">
        <v>2289.27</v>
      </c>
      <c r="J382" t="s">
        <v>20</v>
      </c>
      <c r="K382">
        <v>7.0000000000000007E-2</v>
      </c>
      <c r="L382" t="s">
        <v>44</v>
      </c>
      <c r="M382" t="s">
        <v>32</v>
      </c>
      <c r="N382" t="s">
        <v>55</v>
      </c>
      <c r="O382" s="2">
        <f>_Salesdata[[#This Row],[Unit_Price]] * _Salesdata[[#This Row],[Quantity_Sold]]</f>
        <v>77835.179999999993</v>
      </c>
      <c r="P382" s="2">
        <f>_Salesdata[[#This Row],[Unit_Cost]] * _Salesdata[[#This Row],[Quantity_Sold]]</f>
        <v>65316.38</v>
      </c>
      <c r="Q382" s="2">
        <f>_Salesdata[[#This Row],[Gross_Sales]] - _Salesdata[[#This Row],[Total Cost]]</f>
        <v>12518.799999999996</v>
      </c>
      <c r="R382" s="2"/>
    </row>
    <row r="383" spans="1:18" x14ac:dyDescent="0.25">
      <c r="A383">
        <v>1034</v>
      </c>
      <c r="B383" s="1">
        <v>45056</v>
      </c>
      <c r="C383" t="s">
        <v>48</v>
      </c>
      <c r="D383" t="s">
        <v>18</v>
      </c>
      <c r="E383" s="2">
        <v>4892.3599999999997</v>
      </c>
      <c r="F383">
        <v>19</v>
      </c>
      <c r="G383" t="s">
        <v>19</v>
      </c>
      <c r="H383" s="2">
        <v>1922.21</v>
      </c>
      <c r="I383" s="2">
        <v>2180.83</v>
      </c>
      <c r="J383" t="s">
        <v>20</v>
      </c>
      <c r="K383">
        <v>0.17</v>
      </c>
      <c r="L383" t="s">
        <v>28</v>
      </c>
      <c r="M383" t="s">
        <v>32</v>
      </c>
      <c r="N383" t="s">
        <v>54</v>
      </c>
      <c r="O383" s="2">
        <f>_Salesdata[[#This Row],[Unit_Price]] * _Salesdata[[#This Row],[Quantity_Sold]]</f>
        <v>41435.769999999997</v>
      </c>
      <c r="P383" s="2">
        <f>_Salesdata[[#This Row],[Unit_Cost]] * _Salesdata[[#This Row],[Quantity_Sold]]</f>
        <v>36521.99</v>
      </c>
      <c r="Q383" s="2">
        <f>_Salesdata[[#This Row],[Gross_Sales]] - _Salesdata[[#This Row],[Total Cost]]</f>
        <v>4913.7799999999988</v>
      </c>
      <c r="R383" s="2"/>
    </row>
    <row r="384" spans="1:18" x14ac:dyDescent="0.25">
      <c r="A384">
        <v>1094</v>
      </c>
      <c r="B384" s="1">
        <v>44936</v>
      </c>
      <c r="C384" t="s">
        <v>48</v>
      </c>
      <c r="D384" t="s">
        <v>37</v>
      </c>
      <c r="E384" s="2">
        <v>2548.67</v>
      </c>
      <c r="F384">
        <v>25</v>
      </c>
      <c r="G384" t="s">
        <v>26</v>
      </c>
      <c r="H384" s="2">
        <v>1933.39</v>
      </c>
      <c r="I384" s="2">
        <v>1982.92</v>
      </c>
      <c r="J384" t="s">
        <v>27</v>
      </c>
      <c r="K384">
        <v>0.17</v>
      </c>
      <c r="L384" t="s">
        <v>44</v>
      </c>
      <c r="M384" t="s">
        <v>22</v>
      </c>
      <c r="N384" t="s">
        <v>52</v>
      </c>
      <c r="O384" s="2">
        <f>_Salesdata[[#This Row],[Unit_Price]] * _Salesdata[[#This Row],[Quantity_Sold]]</f>
        <v>49573</v>
      </c>
      <c r="P384" s="2">
        <f>_Salesdata[[#This Row],[Unit_Cost]] * _Salesdata[[#This Row],[Quantity_Sold]]</f>
        <v>48334.75</v>
      </c>
      <c r="Q384" s="2">
        <f>_Salesdata[[#This Row],[Gross_Sales]] - _Salesdata[[#This Row],[Total Cost]]</f>
        <v>1238.25</v>
      </c>
      <c r="R384" s="2"/>
    </row>
    <row r="385" spans="1:18" x14ac:dyDescent="0.25">
      <c r="A385">
        <v>1052</v>
      </c>
      <c r="B385" s="1">
        <v>45033</v>
      </c>
      <c r="C385" t="s">
        <v>24</v>
      </c>
      <c r="D385" t="s">
        <v>40</v>
      </c>
      <c r="E385" s="2">
        <v>8448.93</v>
      </c>
      <c r="F385">
        <v>2</v>
      </c>
      <c r="G385" t="s">
        <v>31</v>
      </c>
      <c r="H385" s="2">
        <v>1935.41</v>
      </c>
      <c r="I385" s="2">
        <v>2305.44</v>
      </c>
      <c r="J385" t="s">
        <v>20</v>
      </c>
      <c r="K385">
        <v>0.22</v>
      </c>
      <c r="L385" t="s">
        <v>28</v>
      </c>
      <c r="M385" t="s">
        <v>22</v>
      </c>
      <c r="N385" t="s">
        <v>55</v>
      </c>
      <c r="O385" s="2">
        <f>_Salesdata[[#This Row],[Unit_Price]] * _Salesdata[[#This Row],[Quantity_Sold]]</f>
        <v>4610.88</v>
      </c>
      <c r="P385" s="2">
        <f>_Salesdata[[#This Row],[Unit_Cost]] * _Salesdata[[#This Row],[Quantity_Sold]]</f>
        <v>3870.82</v>
      </c>
      <c r="Q385" s="2">
        <f>_Salesdata[[#This Row],[Gross_Sales]] - _Salesdata[[#This Row],[Total Cost]]</f>
        <v>740.06</v>
      </c>
      <c r="R385" s="2"/>
    </row>
    <row r="386" spans="1:18" x14ac:dyDescent="0.25">
      <c r="A386">
        <v>1037</v>
      </c>
      <c r="B386" s="1">
        <v>45182</v>
      </c>
      <c r="C386" t="s">
        <v>17</v>
      </c>
      <c r="D386" t="s">
        <v>40</v>
      </c>
      <c r="E386" s="2">
        <v>2929.01</v>
      </c>
      <c r="F386">
        <v>5</v>
      </c>
      <c r="G386" t="s">
        <v>39</v>
      </c>
      <c r="H386" s="2">
        <v>1941.56</v>
      </c>
      <c r="I386" s="2">
        <v>2385.48</v>
      </c>
      <c r="J386" t="s">
        <v>20</v>
      </c>
      <c r="K386">
        <v>0.15</v>
      </c>
      <c r="L386" t="s">
        <v>28</v>
      </c>
      <c r="M386" t="s">
        <v>22</v>
      </c>
      <c r="N386" t="s">
        <v>42</v>
      </c>
      <c r="O386" s="2">
        <f>_Salesdata[[#This Row],[Unit_Price]] * _Salesdata[[#This Row],[Quantity_Sold]]</f>
        <v>11927.4</v>
      </c>
      <c r="P386" s="2">
        <f>_Salesdata[[#This Row],[Unit_Cost]] * _Salesdata[[#This Row],[Quantity_Sold]]</f>
        <v>9707.7999999999993</v>
      </c>
      <c r="Q386" s="2">
        <f>_Salesdata[[#This Row],[Gross_Sales]] - _Salesdata[[#This Row],[Total Cost]]</f>
        <v>2219.6000000000004</v>
      </c>
      <c r="R386" s="2"/>
    </row>
    <row r="387" spans="1:18" x14ac:dyDescent="0.25">
      <c r="A387">
        <v>1048</v>
      </c>
      <c r="B387" s="1">
        <v>45137</v>
      </c>
      <c r="C387" t="s">
        <v>24</v>
      </c>
      <c r="D387" t="s">
        <v>37</v>
      </c>
      <c r="E387" s="2">
        <v>9527</v>
      </c>
      <c r="F387">
        <v>6</v>
      </c>
      <c r="G387" t="s">
        <v>39</v>
      </c>
      <c r="H387" s="2">
        <v>1945.27</v>
      </c>
      <c r="I387" s="2">
        <v>2309.4299999999998</v>
      </c>
      <c r="J387" t="s">
        <v>27</v>
      </c>
      <c r="K387">
        <v>0.26</v>
      </c>
      <c r="L387" t="s">
        <v>28</v>
      </c>
      <c r="M387" t="s">
        <v>22</v>
      </c>
      <c r="N387" t="s">
        <v>53</v>
      </c>
      <c r="O387" s="2">
        <f>_Salesdata[[#This Row],[Unit_Price]] * _Salesdata[[#This Row],[Quantity_Sold]]</f>
        <v>13856.579999999998</v>
      </c>
      <c r="P387" s="2">
        <f>_Salesdata[[#This Row],[Unit_Cost]] * _Salesdata[[#This Row],[Quantity_Sold]]</f>
        <v>11671.619999999999</v>
      </c>
      <c r="Q387" s="2">
        <f>_Salesdata[[#This Row],[Gross_Sales]] - _Salesdata[[#This Row],[Total Cost]]</f>
        <v>2184.9599999999991</v>
      </c>
      <c r="R387" s="2"/>
    </row>
    <row r="388" spans="1:18" x14ac:dyDescent="0.25">
      <c r="A388">
        <v>1097</v>
      </c>
      <c r="B388" s="1">
        <v>45001</v>
      </c>
      <c r="C388" t="s">
        <v>30</v>
      </c>
      <c r="D388" t="s">
        <v>40</v>
      </c>
      <c r="E388" s="2">
        <v>471.95</v>
      </c>
      <c r="F388">
        <v>35</v>
      </c>
      <c r="G388" t="s">
        <v>31</v>
      </c>
      <c r="H388" s="2">
        <v>1958.49</v>
      </c>
      <c r="I388" s="2">
        <v>2254.84</v>
      </c>
      <c r="J388" t="s">
        <v>27</v>
      </c>
      <c r="K388">
        <v>0.16</v>
      </c>
      <c r="L388" t="s">
        <v>28</v>
      </c>
      <c r="M388" t="s">
        <v>22</v>
      </c>
      <c r="N388" t="s">
        <v>41</v>
      </c>
      <c r="O388" s="2">
        <f>_Salesdata[[#This Row],[Unit_Price]] * _Salesdata[[#This Row],[Quantity_Sold]]</f>
        <v>78919.400000000009</v>
      </c>
      <c r="P388" s="2">
        <f>_Salesdata[[#This Row],[Unit_Cost]] * _Salesdata[[#This Row],[Quantity_Sold]]</f>
        <v>68547.149999999994</v>
      </c>
      <c r="Q388" s="2">
        <f>_Salesdata[[#This Row],[Gross_Sales]] - _Salesdata[[#This Row],[Total Cost]]</f>
        <v>10372.250000000015</v>
      </c>
      <c r="R388" s="2"/>
    </row>
    <row r="389" spans="1:18" x14ac:dyDescent="0.25">
      <c r="A389">
        <v>1076</v>
      </c>
      <c r="B389" s="1">
        <v>44943</v>
      </c>
      <c r="C389" t="s">
        <v>35</v>
      </c>
      <c r="D389" t="s">
        <v>40</v>
      </c>
      <c r="E389" s="2">
        <v>8464.23</v>
      </c>
      <c r="F389">
        <v>16</v>
      </c>
      <c r="G389" t="s">
        <v>19</v>
      </c>
      <c r="H389" s="2">
        <v>1964.15</v>
      </c>
      <c r="I389" s="2">
        <v>2211.17</v>
      </c>
      <c r="J389" t="s">
        <v>20</v>
      </c>
      <c r="K389">
        <v>0.21</v>
      </c>
      <c r="L389" t="s">
        <v>44</v>
      </c>
      <c r="M389" t="s">
        <v>22</v>
      </c>
      <c r="N389" t="s">
        <v>43</v>
      </c>
      <c r="O389" s="2">
        <f>_Salesdata[[#This Row],[Unit_Price]] * _Salesdata[[#This Row],[Quantity_Sold]]</f>
        <v>35378.720000000001</v>
      </c>
      <c r="P389" s="2">
        <f>_Salesdata[[#This Row],[Unit_Cost]] * _Salesdata[[#This Row],[Quantity_Sold]]</f>
        <v>31426.400000000001</v>
      </c>
      <c r="Q389" s="2">
        <f>_Salesdata[[#This Row],[Gross_Sales]] - _Salesdata[[#This Row],[Total Cost]]</f>
        <v>3952.3199999999997</v>
      </c>
      <c r="R389" s="2"/>
    </row>
    <row r="390" spans="1:18" x14ac:dyDescent="0.25">
      <c r="A390">
        <v>1079</v>
      </c>
      <c r="B390" s="1">
        <v>45083</v>
      </c>
      <c r="C390" t="s">
        <v>30</v>
      </c>
      <c r="D390" t="s">
        <v>40</v>
      </c>
      <c r="E390" s="2">
        <v>1982.07</v>
      </c>
      <c r="F390">
        <v>34</v>
      </c>
      <c r="G390" t="s">
        <v>39</v>
      </c>
      <c r="H390" s="2">
        <v>1967.96</v>
      </c>
      <c r="I390" s="2">
        <v>1993.4</v>
      </c>
      <c r="J390" t="s">
        <v>20</v>
      </c>
      <c r="K390">
        <v>0.15</v>
      </c>
      <c r="L390" t="s">
        <v>28</v>
      </c>
      <c r="M390" t="s">
        <v>22</v>
      </c>
      <c r="N390" t="s">
        <v>41</v>
      </c>
      <c r="O390" s="2">
        <f>_Salesdata[[#This Row],[Unit_Price]] * _Salesdata[[#This Row],[Quantity_Sold]]</f>
        <v>67775.600000000006</v>
      </c>
      <c r="P390" s="2">
        <f>_Salesdata[[#This Row],[Unit_Cost]] * _Salesdata[[#This Row],[Quantity_Sold]]</f>
        <v>66910.64</v>
      </c>
      <c r="Q390" s="2">
        <f>_Salesdata[[#This Row],[Gross_Sales]] - _Salesdata[[#This Row],[Total Cost]]</f>
        <v>864.9600000000064</v>
      </c>
      <c r="R390" s="2"/>
    </row>
    <row r="391" spans="1:18" x14ac:dyDescent="0.25">
      <c r="A391">
        <v>1028</v>
      </c>
      <c r="B391" s="1">
        <v>44973</v>
      </c>
      <c r="C391" t="s">
        <v>17</v>
      </c>
      <c r="D391" t="s">
        <v>18</v>
      </c>
      <c r="E391" s="2">
        <v>4344.1499999999996</v>
      </c>
      <c r="F391">
        <v>24</v>
      </c>
      <c r="G391" t="s">
        <v>26</v>
      </c>
      <c r="H391" s="2">
        <v>1969.09</v>
      </c>
      <c r="I391" s="2">
        <v>2241.96</v>
      </c>
      <c r="J391" t="s">
        <v>20</v>
      </c>
      <c r="K391">
        <v>0.02</v>
      </c>
      <c r="L391" t="s">
        <v>28</v>
      </c>
      <c r="M391" t="s">
        <v>22</v>
      </c>
      <c r="N391" t="s">
        <v>23</v>
      </c>
      <c r="O391" s="2">
        <f>_Salesdata[[#This Row],[Unit_Price]] * _Salesdata[[#This Row],[Quantity_Sold]]</f>
        <v>53807.040000000001</v>
      </c>
      <c r="P391" s="2">
        <f>_Salesdata[[#This Row],[Unit_Cost]] * _Salesdata[[#This Row],[Quantity_Sold]]</f>
        <v>47258.159999999996</v>
      </c>
      <c r="Q391" s="2">
        <f>_Salesdata[[#This Row],[Gross_Sales]] - _Salesdata[[#This Row],[Total Cost]]</f>
        <v>6548.8800000000047</v>
      </c>
      <c r="R391" s="2"/>
    </row>
    <row r="392" spans="1:18" x14ac:dyDescent="0.25">
      <c r="A392">
        <v>1059</v>
      </c>
      <c r="B392" s="1">
        <v>45105</v>
      </c>
      <c r="C392" t="s">
        <v>17</v>
      </c>
      <c r="D392" t="s">
        <v>37</v>
      </c>
      <c r="E392" s="2">
        <v>2338.64</v>
      </c>
      <c r="F392">
        <v>13</v>
      </c>
      <c r="G392" t="s">
        <v>26</v>
      </c>
      <c r="H392" s="2">
        <v>1969.78</v>
      </c>
      <c r="I392" s="2">
        <v>2437.6999999999998</v>
      </c>
      <c r="J392" t="s">
        <v>27</v>
      </c>
      <c r="K392">
        <v>0.19</v>
      </c>
      <c r="L392" t="s">
        <v>28</v>
      </c>
      <c r="M392" t="s">
        <v>32</v>
      </c>
      <c r="N392" t="s">
        <v>47</v>
      </c>
      <c r="O392" s="2">
        <f>_Salesdata[[#This Row],[Unit_Price]] * _Salesdata[[#This Row],[Quantity_Sold]]</f>
        <v>31690.1</v>
      </c>
      <c r="P392" s="2">
        <f>_Salesdata[[#This Row],[Unit_Cost]] * _Salesdata[[#This Row],[Quantity_Sold]]</f>
        <v>25607.14</v>
      </c>
      <c r="Q392" s="2">
        <f>_Salesdata[[#This Row],[Gross_Sales]] - _Salesdata[[#This Row],[Total Cost]]</f>
        <v>6082.9599999999991</v>
      </c>
      <c r="R392" s="2"/>
    </row>
    <row r="393" spans="1:18" x14ac:dyDescent="0.25">
      <c r="A393">
        <v>1099</v>
      </c>
      <c r="B393" s="1">
        <v>45084</v>
      </c>
      <c r="C393" t="s">
        <v>35</v>
      </c>
      <c r="D393" t="s">
        <v>18</v>
      </c>
      <c r="E393" s="2">
        <v>4346.55</v>
      </c>
      <c r="F393">
        <v>31</v>
      </c>
      <c r="G393" t="s">
        <v>31</v>
      </c>
      <c r="H393" s="2">
        <v>1974.4</v>
      </c>
      <c r="I393" s="2">
        <v>2259.5</v>
      </c>
      <c r="J393" t="s">
        <v>27</v>
      </c>
      <c r="K393">
        <v>0.27</v>
      </c>
      <c r="L393" t="s">
        <v>21</v>
      </c>
      <c r="M393" t="s">
        <v>32</v>
      </c>
      <c r="N393" t="s">
        <v>36</v>
      </c>
      <c r="O393" s="2">
        <f>_Salesdata[[#This Row],[Unit_Price]] * _Salesdata[[#This Row],[Quantity_Sold]]</f>
        <v>70044.5</v>
      </c>
      <c r="P393" s="2">
        <f>_Salesdata[[#This Row],[Unit_Cost]] * _Salesdata[[#This Row],[Quantity_Sold]]</f>
        <v>61206.400000000001</v>
      </c>
      <c r="Q393" s="2">
        <f>_Salesdata[[#This Row],[Gross_Sales]] - _Salesdata[[#This Row],[Total Cost]]</f>
        <v>8838.0999999999985</v>
      </c>
      <c r="R393" s="2"/>
    </row>
    <row r="394" spans="1:18" x14ac:dyDescent="0.25">
      <c r="A394">
        <v>1023</v>
      </c>
      <c r="B394" s="1">
        <v>44952</v>
      </c>
      <c r="C394" t="s">
        <v>30</v>
      </c>
      <c r="D394" t="s">
        <v>37</v>
      </c>
      <c r="E394" s="2">
        <v>2676.34</v>
      </c>
      <c r="F394">
        <v>36</v>
      </c>
      <c r="G394" t="s">
        <v>19</v>
      </c>
      <c r="H394" s="2">
        <v>1991.72</v>
      </c>
      <c r="I394" s="2">
        <v>2329.37</v>
      </c>
      <c r="J394" t="s">
        <v>27</v>
      </c>
      <c r="K394">
        <v>0.28000000000000003</v>
      </c>
      <c r="L394" t="s">
        <v>28</v>
      </c>
      <c r="M394" t="s">
        <v>32</v>
      </c>
      <c r="N394" t="s">
        <v>51</v>
      </c>
      <c r="O394" s="2">
        <f>_Salesdata[[#This Row],[Unit_Price]] * _Salesdata[[#This Row],[Quantity_Sold]]</f>
        <v>83857.319999999992</v>
      </c>
      <c r="P394" s="2">
        <f>_Salesdata[[#This Row],[Unit_Cost]] * _Salesdata[[#This Row],[Quantity_Sold]]</f>
        <v>71701.919999999998</v>
      </c>
      <c r="Q394" s="2">
        <f>_Salesdata[[#This Row],[Gross_Sales]] - _Salesdata[[#This Row],[Total Cost]]</f>
        <v>12155.399999999994</v>
      </c>
      <c r="R394" s="2"/>
    </row>
    <row r="395" spans="1:18" x14ac:dyDescent="0.25">
      <c r="A395">
        <v>1096</v>
      </c>
      <c r="B395" s="1">
        <v>45261</v>
      </c>
      <c r="C395" t="s">
        <v>17</v>
      </c>
      <c r="D395" t="s">
        <v>18</v>
      </c>
      <c r="E395" s="2">
        <v>2962.96</v>
      </c>
      <c r="F395">
        <v>20</v>
      </c>
      <c r="G395" t="s">
        <v>39</v>
      </c>
      <c r="H395" s="2">
        <v>1994.9</v>
      </c>
      <c r="I395" s="2">
        <v>2066.5</v>
      </c>
      <c r="J395" t="s">
        <v>20</v>
      </c>
      <c r="K395">
        <v>0.06</v>
      </c>
      <c r="L395" t="s">
        <v>44</v>
      </c>
      <c r="M395" t="s">
        <v>22</v>
      </c>
      <c r="N395" t="s">
        <v>23</v>
      </c>
      <c r="O395" s="2">
        <f>_Salesdata[[#This Row],[Unit_Price]] * _Salesdata[[#This Row],[Quantity_Sold]]</f>
        <v>41330</v>
      </c>
      <c r="P395" s="2">
        <f>_Salesdata[[#This Row],[Unit_Cost]] * _Salesdata[[#This Row],[Quantity_Sold]]</f>
        <v>39898</v>
      </c>
      <c r="Q395" s="2">
        <f>_Salesdata[[#This Row],[Gross_Sales]] - _Salesdata[[#This Row],[Total Cost]]</f>
        <v>1432</v>
      </c>
      <c r="R395" s="2"/>
    </row>
    <row r="396" spans="1:18" x14ac:dyDescent="0.25">
      <c r="A396">
        <v>1099</v>
      </c>
      <c r="B396" s="1">
        <v>45212</v>
      </c>
      <c r="C396" t="s">
        <v>35</v>
      </c>
      <c r="D396" t="s">
        <v>37</v>
      </c>
      <c r="E396" s="2">
        <v>7614.15</v>
      </c>
      <c r="F396">
        <v>14</v>
      </c>
      <c r="G396" t="s">
        <v>31</v>
      </c>
      <c r="H396" s="2">
        <v>1996.64</v>
      </c>
      <c r="I396" s="2">
        <v>2341.4699999999998</v>
      </c>
      <c r="J396" t="s">
        <v>20</v>
      </c>
      <c r="K396">
        <v>0.22</v>
      </c>
      <c r="L396" t="s">
        <v>28</v>
      </c>
      <c r="M396" t="s">
        <v>22</v>
      </c>
      <c r="N396" t="s">
        <v>38</v>
      </c>
      <c r="O396" s="2">
        <f>_Salesdata[[#This Row],[Unit_Price]] * _Salesdata[[#This Row],[Quantity_Sold]]</f>
        <v>32780.579999999994</v>
      </c>
      <c r="P396" s="2">
        <f>_Salesdata[[#This Row],[Unit_Cost]] * _Salesdata[[#This Row],[Quantity_Sold]]</f>
        <v>27952.960000000003</v>
      </c>
      <c r="Q396" s="2">
        <f>_Salesdata[[#This Row],[Gross_Sales]] - _Salesdata[[#This Row],[Total Cost]]</f>
        <v>4827.6199999999917</v>
      </c>
      <c r="R396" s="2"/>
    </row>
    <row r="397" spans="1:18" x14ac:dyDescent="0.25">
      <c r="A397">
        <v>1033</v>
      </c>
      <c r="B397" s="1">
        <v>45023</v>
      </c>
      <c r="C397" t="s">
        <v>17</v>
      </c>
      <c r="D397" t="s">
        <v>18</v>
      </c>
      <c r="E397" s="2">
        <v>5509.66</v>
      </c>
      <c r="F397">
        <v>4</v>
      </c>
      <c r="G397" t="s">
        <v>31</v>
      </c>
      <c r="H397" s="2">
        <v>2000.75</v>
      </c>
      <c r="I397" s="2">
        <v>2426.9899999999998</v>
      </c>
      <c r="J397" t="s">
        <v>20</v>
      </c>
      <c r="K397">
        <v>0.17</v>
      </c>
      <c r="L397" t="s">
        <v>44</v>
      </c>
      <c r="M397" t="s">
        <v>22</v>
      </c>
      <c r="N397" t="s">
        <v>23</v>
      </c>
      <c r="O397" s="2">
        <f>_Salesdata[[#This Row],[Unit_Price]] * _Salesdata[[#This Row],[Quantity_Sold]]</f>
        <v>9707.9599999999991</v>
      </c>
      <c r="P397" s="2">
        <f>_Salesdata[[#This Row],[Unit_Cost]] * _Salesdata[[#This Row],[Quantity_Sold]]</f>
        <v>8003</v>
      </c>
      <c r="Q397" s="2">
        <f>_Salesdata[[#This Row],[Gross_Sales]] - _Salesdata[[#This Row],[Total Cost]]</f>
        <v>1704.9599999999991</v>
      </c>
      <c r="R397" s="2"/>
    </row>
    <row r="398" spans="1:18" x14ac:dyDescent="0.25">
      <c r="A398">
        <v>1025</v>
      </c>
      <c r="B398" s="1">
        <v>45188</v>
      </c>
      <c r="C398" t="s">
        <v>24</v>
      </c>
      <c r="D398" t="s">
        <v>18</v>
      </c>
      <c r="E398" s="2">
        <v>8564.24</v>
      </c>
      <c r="F398">
        <v>26</v>
      </c>
      <c r="G398" t="s">
        <v>26</v>
      </c>
      <c r="H398" s="2">
        <v>2007.32</v>
      </c>
      <c r="I398" s="2">
        <v>2202.87</v>
      </c>
      <c r="J398" t="s">
        <v>20</v>
      </c>
      <c r="K398">
        <v>0.11</v>
      </c>
      <c r="L398" t="s">
        <v>21</v>
      </c>
      <c r="M398" t="s">
        <v>22</v>
      </c>
      <c r="N398" t="s">
        <v>46</v>
      </c>
      <c r="O398" s="2">
        <f>_Salesdata[[#This Row],[Unit_Price]] * _Salesdata[[#This Row],[Quantity_Sold]]</f>
        <v>57274.619999999995</v>
      </c>
      <c r="P398" s="2">
        <f>_Salesdata[[#This Row],[Unit_Cost]] * _Salesdata[[#This Row],[Quantity_Sold]]</f>
        <v>52190.32</v>
      </c>
      <c r="Q398" s="2">
        <f>_Salesdata[[#This Row],[Gross_Sales]] - _Salesdata[[#This Row],[Total Cost]]</f>
        <v>5084.2999999999956</v>
      </c>
      <c r="R398" s="2"/>
    </row>
    <row r="399" spans="1:18" x14ac:dyDescent="0.25">
      <c r="A399">
        <v>1043</v>
      </c>
      <c r="B399" s="1">
        <v>45256</v>
      </c>
      <c r="C399" t="s">
        <v>17</v>
      </c>
      <c r="D399" t="s">
        <v>40</v>
      </c>
      <c r="E399" s="2">
        <v>1710.73</v>
      </c>
      <c r="F399">
        <v>3</v>
      </c>
      <c r="G399" t="s">
        <v>26</v>
      </c>
      <c r="H399" s="2">
        <v>2009.1</v>
      </c>
      <c r="I399" s="2">
        <v>2186.42</v>
      </c>
      <c r="J399" t="s">
        <v>27</v>
      </c>
      <c r="K399">
        <v>0.25</v>
      </c>
      <c r="L399" t="s">
        <v>44</v>
      </c>
      <c r="M399" t="s">
        <v>22</v>
      </c>
      <c r="N399" t="s">
        <v>42</v>
      </c>
      <c r="O399" s="2">
        <f>_Salesdata[[#This Row],[Unit_Price]] * _Salesdata[[#This Row],[Quantity_Sold]]</f>
        <v>6559.26</v>
      </c>
      <c r="P399" s="2">
        <f>_Salesdata[[#This Row],[Unit_Cost]] * _Salesdata[[#This Row],[Quantity_Sold]]</f>
        <v>6027.2999999999993</v>
      </c>
      <c r="Q399" s="2">
        <f>_Salesdata[[#This Row],[Gross_Sales]] - _Salesdata[[#This Row],[Total Cost]]</f>
        <v>531.96000000000095</v>
      </c>
      <c r="R399" s="2"/>
    </row>
    <row r="400" spans="1:18" x14ac:dyDescent="0.25">
      <c r="A400">
        <v>1034</v>
      </c>
      <c r="B400" s="1">
        <v>44986</v>
      </c>
      <c r="C400" t="s">
        <v>35</v>
      </c>
      <c r="D400" t="s">
        <v>25</v>
      </c>
      <c r="E400" s="2">
        <v>2842.42</v>
      </c>
      <c r="F400">
        <v>45</v>
      </c>
      <c r="G400" t="s">
        <v>31</v>
      </c>
      <c r="H400" s="2">
        <v>2013.12</v>
      </c>
      <c r="I400" s="2">
        <v>2321.87</v>
      </c>
      <c r="J400" t="s">
        <v>27</v>
      </c>
      <c r="K400">
        <v>0.18</v>
      </c>
      <c r="L400" t="s">
        <v>44</v>
      </c>
      <c r="M400" t="s">
        <v>32</v>
      </c>
      <c r="N400" t="s">
        <v>56</v>
      </c>
      <c r="O400" s="2">
        <f>_Salesdata[[#This Row],[Unit_Price]] * _Salesdata[[#This Row],[Quantity_Sold]]</f>
        <v>104484.15</v>
      </c>
      <c r="P400" s="2">
        <f>_Salesdata[[#This Row],[Unit_Cost]] * _Salesdata[[#This Row],[Quantity_Sold]]</f>
        <v>90590.399999999994</v>
      </c>
      <c r="Q400" s="2">
        <f>_Salesdata[[#This Row],[Gross_Sales]] - _Salesdata[[#This Row],[Total Cost]]</f>
        <v>13893.75</v>
      </c>
      <c r="R400" s="2"/>
    </row>
    <row r="401" spans="1:18" x14ac:dyDescent="0.25">
      <c r="A401">
        <v>1039</v>
      </c>
      <c r="B401" s="1">
        <v>44966</v>
      </c>
      <c r="C401" t="s">
        <v>30</v>
      </c>
      <c r="D401" t="s">
        <v>40</v>
      </c>
      <c r="E401" s="2">
        <v>9091.4599999999991</v>
      </c>
      <c r="F401">
        <v>20</v>
      </c>
      <c r="G401" t="s">
        <v>31</v>
      </c>
      <c r="H401" s="2">
        <v>2014.11</v>
      </c>
      <c r="I401" s="2">
        <v>2056.35</v>
      </c>
      <c r="J401" t="s">
        <v>20</v>
      </c>
      <c r="K401">
        <v>0.21</v>
      </c>
      <c r="L401" t="s">
        <v>44</v>
      </c>
      <c r="M401" t="s">
        <v>32</v>
      </c>
      <c r="N401" t="s">
        <v>41</v>
      </c>
      <c r="O401" s="2">
        <f>_Salesdata[[#This Row],[Unit_Price]] * _Salesdata[[#This Row],[Quantity_Sold]]</f>
        <v>41127</v>
      </c>
      <c r="P401" s="2">
        <f>_Salesdata[[#This Row],[Unit_Cost]] * _Salesdata[[#This Row],[Quantity_Sold]]</f>
        <v>40282.199999999997</v>
      </c>
      <c r="Q401" s="2">
        <f>_Salesdata[[#This Row],[Gross_Sales]] - _Salesdata[[#This Row],[Total Cost]]</f>
        <v>844.80000000000291</v>
      </c>
      <c r="R401" s="2"/>
    </row>
    <row r="402" spans="1:18" x14ac:dyDescent="0.25">
      <c r="A402">
        <v>1024</v>
      </c>
      <c r="B402" s="1">
        <v>45002</v>
      </c>
      <c r="C402" t="s">
        <v>48</v>
      </c>
      <c r="D402" t="s">
        <v>40</v>
      </c>
      <c r="E402" s="2">
        <v>5825.15</v>
      </c>
      <c r="F402">
        <v>46</v>
      </c>
      <c r="G402" t="s">
        <v>26</v>
      </c>
      <c r="H402" s="2">
        <v>2016.49</v>
      </c>
      <c r="I402" s="2">
        <v>2338.66</v>
      </c>
      <c r="J402" t="s">
        <v>20</v>
      </c>
      <c r="K402">
        <v>0.19</v>
      </c>
      <c r="L402" t="s">
        <v>44</v>
      </c>
      <c r="M402" t="s">
        <v>32</v>
      </c>
      <c r="N402" t="s">
        <v>50</v>
      </c>
      <c r="O402" s="2">
        <f>_Salesdata[[#This Row],[Unit_Price]] * _Salesdata[[#This Row],[Quantity_Sold]]</f>
        <v>107578.35999999999</v>
      </c>
      <c r="P402" s="2">
        <f>_Salesdata[[#This Row],[Unit_Cost]] * _Salesdata[[#This Row],[Quantity_Sold]]</f>
        <v>92758.54</v>
      </c>
      <c r="Q402" s="2">
        <f>_Salesdata[[#This Row],[Gross_Sales]] - _Salesdata[[#This Row],[Total Cost]]</f>
        <v>14819.819999999992</v>
      </c>
      <c r="R402" s="2"/>
    </row>
    <row r="403" spans="1:18" x14ac:dyDescent="0.25">
      <c r="A403">
        <v>1065</v>
      </c>
      <c r="B403" s="1">
        <v>44933</v>
      </c>
      <c r="C403" t="s">
        <v>48</v>
      </c>
      <c r="D403" t="s">
        <v>37</v>
      </c>
      <c r="E403" s="2">
        <v>2365.87</v>
      </c>
      <c r="F403">
        <v>6</v>
      </c>
      <c r="G403" t="s">
        <v>19</v>
      </c>
      <c r="H403" s="2">
        <v>2019.9</v>
      </c>
      <c r="I403" s="2">
        <v>2116.7399999999998</v>
      </c>
      <c r="J403" t="s">
        <v>27</v>
      </c>
      <c r="K403">
        <v>0.11</v>
      </c>
      <c r="L403" t="s">
        <v>28</v>
      </c>
      <c r="M403" t="s">
        <v>22</v>
      </c>
      <c r="N403" t="s">
        <v>52</v>
      </c>
      <c r="O403" s="2">
        <f>_Salesdata[[#This Row],[Unit_Price]] * _Salesdata[[#This Row],[Quantity_Sold]]</f>
        <v>12700.439999999999</v>
      </c>
      <c r="P403" s="2">
        <f>_Salesdata[[#This Row],[Unit_Cost]] * _Salesdata[[#This Row],[Quantity_Sold]]</f>
        <v>12119.400000000001</v>
      </c>
      <c r="Q403" s="2">
        <f>_Salesdata[[#This Row],[Gross_Sales]] - _Salesdata[[#This Row],[Total Cost]]</f>
        <v>581.03999999999724</v>
      </c>
      <c r="R403" s="2"/>
    </row>
    <row r="404" spans="1:18" x14ac:dyDescent="0.25">
      <c r="A404">
        <v>1032</v>
      </c>
      <c r="B404" s="1">
        <v>45207</v>
      </c>
      <c r="C404" t="s">
        <v>48</v>
      </c>
      <c r="D404" t="s">
        <v>18</v>
      </c>
      <c r="E404" s="2">
        <v>4095.65</v>
      </c>
      <c r="F404">
        <v>11</v>
      </c>
      <c r="G404" t="s">
        <v>31</v>
      </c>
      <c r="H404" s="2">
        <v>2025.67</v>
      </c>
      <c r="I404" s="2">
        <v>2081.5500000000002</v>
      </c>
      <c r="J404" t="s">
        <v>27</v>
      </c>
      <c r="K404">
        <v>0.27</v>
      </c>
      <c r="L404" t="s">
        <v>44</v>
      </c>
      <c r="M404" t="s">
        <v>22</v>
      </c>
      <c r="N404" t="s">
        <v>54</v>
      </c>
      <c r="O404" s="2">
        <f>_Salesdata[[#This Row],[Unit_Price]] * _Salesdata[[#This Row],[Quantity_Sold]]</f>
        <v>22897.050000000003</v>
      </c>
      <c r="P404" s="2">
        <f>_Salesdata[[#This Row],[Unit_Cost]] * _Salesdata[[#This Row],[Quantity_Sold]]</f>
        <v>22282.370000000003</v>
      </c>
      <c r="Q404" s="2">
        <f>_Salesdata[[#This Row],[Gross_Sales]] - _Salesdata[[#This Row],[Total Cost]]</f>
        <v>614.68000000000029</v>
      </c>
      <c r="R404" s="2"/>
    </row>
    <row r="405" spans="1:18" x14ac:dyDescent="0.25">
      <c r="A405">
        <v>1065</v>
      </c>
      <c r="B405" s="1">
        <v>44953</v>
      </c>
      <c r="C405" t="s">
        <v>17</v>
      </c>
      <c r="D405" t="s">
        <v>40</v>
      </c>
      <c r="E405" s="2">
        <v>1621.54</v>
      </c>
      <c r="F405">
        <v>12</v>
      </c>
      <c r="G405" t="s">
        <v>26</v>
      </c>
      <c r="H405" s="2">
        <v>2035.68</v>
      </c>
      <c r="I405" s="2">
        <v>2079.64</v>
      </c>
      <c r="J405" t="s">
        <v>20</v>
      </c>
      <c r="K405">
        <v>0.04</v>
      </c>
      <c r="L405" t="s">
        <v>21</v>
      </c>
      <c r="M405" t="s">
        <v>22</v>
      </c>
      <c r="N405" t="s">
        <v>42</v>
      </c>
      <c r="O405" s="2">
        <f>_Salesdata[[#This Row],[Unit_Price]] * _Salesdata[[#This Row],[Quantity_Sold]]</f>
        <v>24955.68</v>
      </c>
      <c r="P405" s="2">
        <f>_Salesdata[[#This Row],[Unit_Cost]] * _Salesdata[[#This Row],[Quantity_Sold]]</f>
        <v>24428.16</v>
      </c>
      <c r="Q405" s="2">
        <f>_Salesdata[[#This Row],[Gross_Sales]] - _Salesdata[[#This Row],[Total Cost]]</f>
        <v>527.52000000000044</v>
      </c>
      <c r="R405" s="2"/>
    </row>
    <row r="406" spans="1:18" x14ac:dyDescent="0.25">
      <c r="A406">
        <v>1092</v>
      </c>
      <c r="B406" s="1">
        <v>44966</v>
      </c>
      <c r="C406" t="s">
        <v>30</v>
      </c>
      <c r="D406" t="s">
        <v>25</v>
      </c>
      <c r="E406" s="2">
        <v>2749.17</v>
      </c>
      <c r="F406">
        <v>34</v>
      </c>
      <c r="G406" t="s">
        <v>39</v>
      </c>
      <c r="H406" s="2">
        <v>2037.41</v>
      </c>
      <c r="I406" s="2">
        <v>2238.65</v>
      </c>
      <c r="J406" t="s">
        <v>27</v>
      </c>
      <c r="K406">
        <v>0.3</v>
      </c>
      <c r="L406" t="s">
        <v>28</v>
      </c>
      <c r="M406" t="s">
        <v>22</v>
      </c>
      <c r="N406" t="s">
        <v>45</v>
      </c>
      <c r="O406" s="2">
        <f>_Salesdata[[#This Row],[Unit_Price]] * _Salesdata[[#This Row],[Quantity_Sold]]</f>
        <v>76114.100000000006</v>
      </c>
      <c r="P406" s="2">
        <f>_Salesdata[[#This Row],[Unit_Cost]] * _Salesdata[[#This Row],[Quantity_Sold]]</f>
        <v>69271.94</v>
      </c>
      <c r="Q406" s="2">
        <f>_Salesdata[[#This Row],[Gross_Sales]] - _Salesdata[[#This Row],[Total Cost]]</f>
        <v>6842.1600000000035</v>
      </c>
      <c r="R406" s="2"/>
    </row>
    <row r="407" spans="1:18" x14ac:dyDescent="0.25">
      <c r="A407">
        <v>1099</v>
      </c>
      <c r="B407" s="1">
        <v>45078</v>
      </c>
      <c r="C407" t="s">
        <v>24</v>
      </c>
      <c r="D407" t="s">
        <v>40</v>
      </c>
      <c r="E407" s="2">
        <v>2496.02</v>
      </c>
      <c r="F407">
        <v>2</v>
      </c>
      <c r="G407" t="s">
        <v>26</v>
      </c>
      <c r="H407" s="2">
        <v>2038.4</v>
      </c>
      <c r="I407" s="2">
        <v>2073.3200000000002</v>
      </c>
      <c r="J407" t="s">
        <v>27</v>
      </c>
      <c r="K407">
        <v>0.16</v>
      </c>
      <c r="L407" t="s">
        <v>21</v>
      </c>
      <c r="M407" t="s">
        <v>32</v>
      </c>
      <c r="N407" t="s">
        <v>55</v>
      </c>
      <c r="O407" s="2">
        <f>_Salesdata[[#This Row],[Unit_Price]] * _Salesdata[[#This Row],[Quantity_Sold]]</f>
        <v>4146.6400000000003</v>
      </c>
      <c r="P407" s="2">
        <f>_Salesdata[[#This Row],[Unit_Cost]] * _Salesdata[[#This Row],[Quantity_Sold]]</f>
        <v>4076.8</v>
      </c>
      <c r="Q407" s="2">
        <f>_Salesdata[[#This Row],[Gross_Sales]] - _Salesdata[[#This Row],[Total Cost]]</f>
        <v>69.840000000000146</v>
      </c>
      <c r="R407" s="2"/>
    </row>
    <row r="408" spans="1:18" x14ac:dyDescent="0.25">
      <c r="A408">
        <v>1002</v>
      </c>
      <c r="B408" s="1">
        <v>45067</v>
      </c>
      <c r="C408" t="s">
        <v>35</v>
      </c>
      <c r="D408" t="s">
        <v>25</v>
      </c>
      <c r="E408" s="2">
        <v>7828.25</v>
      </c>
      <c r="F408">
        <v>26</v>
      </c>
      <c r="G408" t="s">
        <v>19</v>
      </c>
      <c r="H408" s="2">
        <v>2041.42</v>
      </c>
      <c r="I408" s="2">
        <v>2291.17</v>
      </c>
      <c r="J408" t="s">
        <v>20</v>
      </c>
      <c r="K408">
        <v>0.28000000000000003</v>
      </c>
      <c r="L408" t="s">
        <v>21</v>
      </c>
      <c r="M408" t="s">
        <v>22</v>
      </c>
      <c r="N408" t="s">
        <v>56</v>
      </c>
      <c r="O408" s="2">
        <f>_Salesdata[[#This Row],[Unit_Price]] * _Salesdata[[#This Row],[Quantity_Sold]]</f>
        <v>59570.42</v>
      </c>
      <c r="P408" s="2">
        <f>_Salesdata[[#This Row],[Unit_Cost]] * _Salesdata[[#This Row],[Quantity_Sold]]</f>
        <v>53076.92</v>
      </c>
      <c r="Q408" s="2">
        <f>_Salesdata[[#This Row],[Gross_Sales]] - _Salesdata[[#This Row],[Total Cost]]</f>
        <v>6493.5</v>
      </c>
      <c r="R408" s="2"/>
    </row>
    <row r="409" spans="1:18" x14ac:dyDescent="0.25">
      <c r="A409">
        <v>1030</v>
      </c>
      <c r="B409" s="1">
        <v>45256</v>
      </c>
      <c r="C409" t="s">
        <v>24</v>
      </c>
      <c r="D409" t="s">
        <v>25</v>
      </c>
      <c r="E409" s="2">
        <v>8727</v>
      </c>
      <c r="F409">
        <v>39</v>
      </c>
      <c r="G409" t="s">
        <v>26</v>
      </c>
      <c r="H409" s="2">
        <v>2041.75</v>
      </c>
      <c r="I409" s="2">
        <v>2299.37</v>
      </c>
      <c r="J409" t="s">
        <v>20</v>
      </c>
      <c r="K409">
        <v>0.24</v>
      </c>
      <c r="L409" t="s">
        <v>44</v>
      </c>
      <c r="M409" t="s">
        <v>32</v>
      </c>
      <c r="N409" t="s">
        <v>29</v>
      </c>
      <c r="O409" s="2">
        <f>_Salesdata[[#This Row],[Unit_Price]] * _Salesdata[[#This Row],[Quantity_Sold]]</f>
        <v>89675.43</v>
      </c>
      <c r="P409" s="2">
        <f>_Salesdata[[#This Row],[Unit_Cost]] * _Salesdata[[#This Row],[Quantity_Sold]]</f>
        <v>79628.25</v>
      </c>
      <c r="Q409" s="2">
        <f>_Salesdata[[#This Row],[Gross_Sales]] - _Salesdata[[#This Row],[Total Cost]]</f>
        <v>10047.179999999993</v>
      </c>
      <c r="R409" s="2"/>
    </row>
    <row r="410" spans="1:18" x14ac:dyDescent="0.25">
      <c r="A410">
        <v>1053</v>
      </c>
      <c r="B410" s="1">
        <v>45281</v>
      </c>
      <c r="C410" t="s">
        <v>17</v>
      </c>
      <c r="D410" t="s">
        <v>37</v>
      </c>
      <c r="E410" s="2">
        <v>660.2</v>
      </c>
      <c r="F410">
        <v>44</v>
      </c>
      <c r="G410" t="s">
        <v>39</v>
      </c>
      <c r="H410" s="2">
        <v>2045</v>
      </c>
      <c r="I410" s="2">
        <v>2217.5100000000002</v>
      </c>
      <c r="J410" t="s">
        <v>20</v>
      </c>
      <c r="K410">
        <v>0.08</v>
      </c>
      <c r="L410" t="s">
        <v>28</v>
      </c>
      <c r="M410" t="s">
        <v>22</v>
      </c>
      <c r="N410" t="s">
        <v>47</v>
      </c>
      <c r="O410" s="2">
        <f>_Salesdata[[#This Row],[Unit_Price]] * _Salesdata[[#This Row],[Quantity_Sold]]</f>
        <v>97570.44</v>
      </c>
      <c r="P410" s="2">
        <f>_Salesdata[[#This Row],[Unit_Cost]] * _Salesdata[[#This Row],[Quantity_Sold]]</f>
        <v>89980</v>
      </c>
      <c r="Q410" s="2">
        <f>_Salesdata[[#This Row],[Gross_Sales]] - _Salesdata[[#This Row],[Total Cost]]</f>
        <v>7590.4400000000023</v>
      </c>
      <c r="R410" s="2"/>
    </row>
    <row r="411" spans="1:18" x14ac:dyDescent="0.25">
      <c r="A411">
        <v>1024</v>
      </c>
      <c r="B411" s="1">
        <v>45040</v>
      </c>
      <c r="C411" t="s">
        <v>30</v>
      </c>
      <c r="D411" t="s">
        <v>37</v>
      </c>
      <c r="E411" s="2">
        <v>4670.99</v>
      </c>
      <c r="F411">
        <v>35</v>
      </c>
      <c r="G411" t="s">
        <v>39</v>
      </c>
      <c r="H411" s="2">
        <v>2051</v>
      </c>
      <c r="I411" s="2">
        <v>2121.5500000000002</v>
      </c>
      <c r="J411" t="s">
        <v>20</v>
      </c>
      <c r="K411">
        <v>0.26</v>
      </c>
      <c r="L411" t="s">
        <v>21</v>
      </c>
      <c r="M411" t="s">
        <v>32</v>
      </c>
      <c r="N411" t="s">
        <v>51</v>
      </c>
      <c r="O411" s="2">
        <f>_Salesdata[[#This Row],[Unit_Price]] * _Salesdata[[#This Row],[Quantity_Sold]]</f>
        <v>74254.25</v>
      </c>
      <c r="P411" s="2">
        <f>_Salesdata[[#This Row],[Unit_Cost]] * _Salesdata[[#This Row],[Quantity_Sold]]</f>
        <v>71785</v>
      </c>
      <c r="Q411" s="2">
        <f>_Salesdata[[#This Row],[Gross_Sales]] - _Salesdata[[#This Row],[Total Cost]]</f>
        <v>2469.25</v>
      </c>
      <c r="R411" s="2"/>
    </row>
    <row r="412" spans="1:18" x14ac:dyDescent="0.25">
      <c r="A412">
        <v>1028</v>
      </c>
      <c r="B412" s="1">
        <v>45169</v>
      </c>
      <c r="C412" t="s">
        <v>48</v>
      </c>
      <c r="D412" t="s">
        <v>37</v>
      </c>
      <c r="E412" s="2">
        <v>5403</v>
      </c>
      <c r="F412">
        <v>28</v>
      </c>
      <c r="G412" t="s">
        <v>39</v>
      </c>
      <c r="H412" s="2">
        <v>2055.2800000000002</v>
      </c>
      <c r="I412" s="2">
        <v>2449.64</v>
      </c>
      <c r="J412" t="s">
        <v>27</v>
      </c>
      <c r="K412">
        <v>0.19</v>
      </c>
      <c r="L412" t="s">
        <v>28</v>
      </c>
      <c r="M412" t="s">
        <v>22</v>
      </c>
      <c r="N412" t="s">
        <v>52</v>
      </c>
      <c r="O412" s="2">
        <f>_Salesdata[[#This Row],[Unit_Price]] * _Salesdata[[#This Row],[Quantity_Sold]]</f>
        <v>68589.919999999998</v>
      </c>
      <c r="P412" s="2">
        <f>_Salesdata[[#This Row],[Unit_Cost]] * _Salesdata[[#This Row],[Quantity_Sold]]</f>
        <v>57547.840000000004</v>
      </c>
      <c r="Q412" s="2">
        <f>_Salesdata[[#This Row],[Gross_Sales]] - _Salesdata[[#This Row],[Total Cost]]</f>
        <v>11042.079999999994</v>
      </c>
      <c r="R412" s="2"/>
    </row>
    <row r="413" spans="1:18" x14ac:dyDescent="0.25">
      <c r="A413">
        <v>1090</v>
      </c>
      <c r="B413" s="1">
        <v>45080</v>
      </c>
      <c r="C413" t="s">
        <v>48</v>
      </c>
      <c r="D413" t="s">
        <v>37</v>
      </c>
      <c r="E413" s="2">
        <v>2132.8000000000002</v>
      </c>
      <c r="F413">
        <v>41</v>
      </c>
      <c r="G413" t="s">
        <v>39</v>
      </c>
      <c r="H413" s="2">
        <v>2055.4899999999998</v>
      </c>
      <c r="I413" s="2">
        <v>2441.46</v>
      </c>
      <c r="J413" t="s">
        <v>27</v>
      </c>
      <c r="K413">
        <v>0.24</v>
      </c>
      <c r="L413" t="s">
        <v>28</v>
      </c>
      <c r="M413" t="s">
        <v>22</v>
      </c>
      <c r="N413" t="s">
        <v>52</v>
      </c>
      <c r="O413" s="2">
        <f>_Salesdata[[#This Row],[Unit_Price]] * _Salesdata[[#This Row],[Quantity_Sold]]</f>
        <v>100099.86</v>
      </c>
      <c r="P413" s="2">
        <f>_Salesdata[[#This Row],[Unit_Cost]] * _Salesdata[[#This Row],[Quantity_Sold]]</f>
        <v>84275.09</v>
      </c>
      <c r="Q413" s="2">
        <f>_Salesdata[[#This Row],[Gross_Sales]] - _Salesdata[[#This Row],[Total Cost]]</f>
        <v>15824.770000000004</v>
      </c>
      <c r="R413" s="2"/>
    </row>
    <row r="414" spans="1:18" x14ac:dyDescent="0.25">
      <c r="A414">
        <v>1024</v>
      </c>
      <c r="B414" s="1">
        <v>45043</v>
      </c>
      <c r="C414" t="s">
        <v>24</v>
      </c>
      <c r="D414" t="s">
        <v>25</v>
      </c>
      <c r="E414" s="2">
        <v>7734.12</v>
      </c>
      <c r="F414">
        <v>42</v>
      </c>
      <c r="G414" t="s">
        <v>31</v>
      </c>
      <c r="H414" s="2">
        <v>2069.0500000000002</v>
      </c>
      <c r="I414" s="2">
        <v>2363.9</v>
      </c>
      <c r="J414" t="s">
        <v>20</v>
      </c>
      <c r="K414">
        <v>7.0000000000000007E-2</v>
      </c>
      <c r="L414" t="s">
        <v>21</v>
      </c>
      <c r="M414" t="s">
        <v>22</v>
      </c>
      <c r="N414" t="s">
        <v>29</v>
      </c>
      <c r="O414" s="2">
        <f>_Salesdata[[#This Row],[Unit_Price]] * _Salesdata[[#This Row],[Quantity_Sold]]</f>
        <v>99283.8</v>
      </c>
      <c r="P414" s="2">
        <f>_Salesdata[[#This Row],[Unit_Cost]] * _Salesdata[[#This Row],[Quantity_Sold]]</f>
        <v>86900.1</v>
      </c>
      <c r="Q414" s="2">
        <f>_Salesdata[[#This Row],[Gross_Sales]] - _Salesdata[[#This Row],[Total Cost]]</f>
        <v>12383.699999999997</v>
      </c>
      <c r="R414" s="2"/>
    </row>
    <row r="415" spans="1:18" x14ac:dyDescent="0.25">
      <c r="A415">
        <v>1063</v>
      </c>
      <c r="B415" s="1">
        <v>45204</v>
      </c>
      <c r="C415" t="s">
        <v>24</v>
      </c>
      <c r="D415" t="s">
        <v>40</v>
      </c>
      <c r="E415" s="2">
        <v>7859.01</v>
      </c>
      <c r="F415">
        <v>27</v>
      </c>
      <c r="G415" t="s">
        <v>31</v>
      </c>
      <c r="H415" s="2">
        <v>2069.08</v>
      </c>
      <c r="I415" s="2">
        <v>2246.2399999999998</v>
      </c>
      <c r="J415" t="s">
        <v>27</v>
      </c>
      <c r="K415">
        <v>0.06</v>
      </c>
      <c r="L415" t="s">
        <v>44</v>
      </c>
      <c r="M415" t="s">
        <v>32</v>
      </c>
      <c r="N415" t="s">
        <v>55</v>
      </c>
      <c r="O415" s="2">
        <f>_Salesdata[[#This Row],[Unit_Price]] * _Salesdata[[#This Row],[Quantity_Sold]]</f>
        <v>60648.479999999996</v>
      </c>
      <c r="P415" s="2">
        <f>_Salesdata[[#This Row],[Unit_Cost]] * _Salesdata[[#This Row],[Quantity_Sold]]</f>
        <v>55865.159999999996</v>
      </c>
      <c r="Q415" s="2">
        <f>_Salesdata[[#This Row],[Gross_Sales]] - _Salesdata[[#This Row],[Total Cost]]</f>
        <v>4783.32</v>
      </c>
      <c r="R415" s="2"/>
    </row>
    <row r="416" spans="1:18" x14ac:dyDescent="0.25">
      <c r="A416">
        <v>1091</v>
      </c>
      <c r="B416" s="1">
        <v>45173</v>
      </c>
      <c r="C416" t="s">
        <v>35</v>
      </c>
      <c r="D416" t="s">
        <v>40</v>
      </c>
      <c r="E416" s="2">
        <v>675.11</v>
      </c>
      <c r="F416">
        <v>44</v>
      </c>
      <c r="G416" t="s">
        <v>31</v>
      </c>
      <c r="H416" s="2">
        <v>2085.46</v>
      </c>
      <c r="I416" s="2">
        <v>2406.58</v>
      </c>
      <c r="J416" t="s">
        <v>20</v>
      </c>
      <c r="K416">
        <v>0.06</v>
      </c>
      <c r="L416" t="s">
        <v>44</v>
      </c>
      <c r="M416" t="s">
        <v>32</v>
      </c>
      <c r="N416" t="s">
        <v>43</v>
      </c>
      <c r="O416" s="2">
        <f>_Salesdata[[#This Row],[Unit_Price]] * _Salesdata[[#This Row],[Quantity_Sold]]</f>
        <v>105889.51999999999</v>
      </c>
      <c r="P416" s="2">
        <f>_Salesdata[[#This Row],[Unit_Cost]] * _Salesdata[[#This Row],[Quantity_Sold]]</f>
        <v>91760.24</v>
      </c>
      <c r="Q416" s="2">
        <f>_Salesdata[[#This Row],[Gross_Sales]] - _Salesdata[[#This Row],[Total Cost]]</f>
        <v>14129.279999999984</v>
      </c>
      <c r="R416" s="2"/>
    </row>
    <row r="417" spans="1:18" x14ac:dyDescent="0.25">
      <c r="A417">
        <v>1014</v>
      </c>
      <c r="B417" s="1">
        <v>45027</v>
      </c>
      <c r="C417" t="s">
        <v>24</v>
      </c>
      <c r="D417" t="s">
        <v>40</v>
      </c>
      <c r="E417" s="2">
        <v>9582.1200000000008</v>
      </c>
      <c r="F417">
        <v>38</v>
      </c>
      <c r="G417" t="s">
        <v>31</v>
      </c>
      <c r="H417" s="2">
        <v>2091.21</v>
      </c>
      <c r="I417" s="2">
        <v>2527</v>
      </c>
      <c r="J417" t="s">
        <v>20</v>
      </c>
      <c r="K417">
        <v>0.01</v>
      </c>
      <c r="L417" t="s">
        <v>28</v>
      </c>
      <c r="M417" t="s">
        <v>22</v>
      </c>
      <c r="N417" t="s">
        <v>55</v>
      </c>
      <c r="O417" s="2">
        <f>_Salesdata[[#This Row],[Unit_Price]] * _Salesdata[[#This Row],[Quantity_Sold]]</f>
        <v>96026</v>
      </c>
      <c r="P417" s="2">
        <f>_Salesdata[[#This Row],[Unit_Cost]] * _Salesdata[[#This Row],[Quantity_Sold]]</f>
        <v>79465.98</v>
      </c>
      <c r="Q417" s="2">
        <f>_Salesdata[[#This Row],[Gross_Sales]] - _Salesdata[[#This Row],[Total Cost]]</f>
        <v>16560.020000000004</v>
      </c>
      <c r="R417" s="2"/>
    </row>
    <row r="418" spans="1:18" x14ac:dyDescent="0.25">
      <c r="A418">
        <v>1062</v>
      </c>
      <c r="B418" s="1">
        <v>45247</v>
      </c>
      <c r="C418" t="s">
        <v>35</v>
      </c>
      <c r="D418" t="s">
        <v>37</v>
      </c>
      <c r="E418" s="2">
        <v>4790.72</v>
      </c>
      <c r="F418">
        <v>28</v>
      </c>
      <c r="G418" t="s">
        <v>19</v>
      </c>
      <c r="H418" s="2">
        <v>2094.88</v>
      </c>
      <c r="I418" s="2">
        <v>2168.91</v>
      </c>
      <c r="J418" t="s">
        <v>20</v>
      </c>
      <c r="K418">
        <v>0.08</v>
      </c>
      <c r="L418" t="s">
        <v>21</v>
      </c>
      <c r="M418" t="s">
        <v>32</v>
      </c>
      <c r="N418" t="s">
        <v>38</v>
      </c>
      <c r="O418" s="2">
        <f>_Salesdata[[#This Row],[Unit_Price]] * _Salesdata[[#This Row],[Quantity_Sold]]</f>
        <v>60729.479999999996</v>
      </c>
      <c r="P418" s="2">
        <f>_Salesdata[[#This Row],[Unit_Cost]] * _Salesdata[[#This Row],[Quantity_Sold]]</f>
        <v>58656.639999999999</v>
      </c>
      <c r="Q418" s="2">
        <f>_Salesdata[[#This Row],[Gross_Sales]] - _Salesdata[[#This Row],[Total Cost]]</f>
        <v>2072.8399999999965</v>
      </c>
      <c r="R418" s="2"/>
    </row>
    <row r="419" spans="1:18" x14ac:dyDescent="0.25">
      <c r="A419">
        <v>1025</v>
      </c>
      <c r="B419" s="1">
        <v>45290</v>
      </c>
      <c r="C419" t="s">
        <v>30</v>
      </c>
      <c r="D419" t="s">
        <v>25</v>
      </c>
      <c r="E419" s="2">
        <v>9215.32</v>
      </c>
      <c r="F419">
        <v>28</v>
      </c>
      <c r="G419" t="s">
        <v>26</v>
      </c>
      <c r="H419" s="2">
        <v>2097.84</v>
      </c>
      <c r="I419" s="2">
        <v>2270.9899999999998</v>
      </c>
      <c r="J419" t="s">
        <v>27</v>
      </c>
      <c r="K419">
        <v>0.13</v>
      </c>
      <c r="L419" t="s">
        <v>28</v>
      </c>
      <c r="M419" t="s">
        <v>32</v>
      </c>
      <c r="N419" t="s">
        <v>45</v>
      </c>
      <c r="O419" s="2">
        <f>_Salesdata[[#This Row],[Unit_Price]] * _Salesdata[[#This Row],[Quantity_Sold]]</f>
        <v>63587.719999999994</v>
      </c>
      <c r="P419" s="2">
        <f>_Salesdata[[#This Row],[Unit_Cost]] * _Salesdata[[#This Row],[Quantity_Sold]]</f>
        <v>58739.520000000004</v>
      </c>
      <c r="Q419" s="2">
        <f>_Salesdata[[#This Row],[Gross_Sales]] - _Salesdata[[#This Row],[Total Cost]]</f>
        <v>4848.1999999999898</v>
      </c>
      <c r="R419" s="2"/>
    </row>
    <row r="420" spans="1:18" x14ac:dyDescent="0.25">
      <c r="A420">
        <v>1063</v>
      </c>
      <c r="B420" s="1">
        <v>45028</v>
      </c>
      <c r="C420" t="s">
        <v>35</v>
      </c>
      <c r="D420" t="s">
        <v>37</v>
      </c>
      <c r="E420" s="2">
        <v>5886.04</v>
      </c>
      <c r="F420">
        <v>40</v>
      </c>
      <c r="G420" t="s">
        <v>26</v>
      </c>
      <c r="H420" s="2">
        <v>2101.3200000000002</v>
      </c>
      <c r="I420" s="2">
        <v>2440.63</v>
      </c>
      <c r="J420" t="s">
        <v>27</v>
      </c>
      <c r="K420">
        <v>0.26</v>
      </c>
      <c r="L420" t="s">
        <v>44</v>
      </c>
      <c r="M420" t="s">
        <v>32</v>
      </c>
      <c r="N420" t="s">
        <v>38</v>
      </c>
      <c r="O420" s="2">
        <f>_Salesdata[[#This Row],[Unit_Price]] * _Salesdata[[#This Row],[Quantity_Sold]]</f>
        <v>97625.200000000012</v>
      </c>
      <c r="P420" s="2">
        <f>_Salesdata[[#This Row],[Unit_Cost]] * _Salesdata[[#This Row],[Quantity_Sold]]</f>
        <v>84052.800000000003</v>
      </c>
      <c r="Q420" s="2">
        <f>_Salesdata[[#This Row],[Gross_Sales]] - _Salesdata[[#This Row],[Total Cost]]</f>
        <v>13572.400000000009</v>
      </c>
      <c r="R420" s="2"/>
    </row>
    <row r="421" spans="1:18" x14ac:dyDescent="0.25">
      <c r="A421">
        <v>1100</v>
      </c>
      <c r="B421" s="1">
        <v>44980</v>
      </c>
      <c r="C421" t="s">
        <v>48</v>
      </c>
      <c r="D421" t="s">
        <v>37</v>
      </c>
      <c r="E421" s="2">
        <v>849.43</v>
      </c>
      <c r="F421">
        <v>43</v>
      </c>
      <c r="G421" t="s">
        <v>39</v>
      </c>
      <c r="H421" s="2">
        <v>2116.09</v>
      </c>
      <c r="I421" s="2">
        <v>2472.98</v>
      </c>
      <c r="J421" t="s">
        <v>27</v>
      </c>
      <c r="K421">
        <v>0.01</v>
      </c>
      <c r="L421" t="s">
        <v>28</v>
      </c>
      <c r="M421" t="s">
        <v>32</v>
      </c>
      <c r="N421" t="s">
        <v>52</v>
      </c>
      <c r="O421" s="2">
        <f>_Salesdata[[#This Row],[Unit_Price]] * _Salesdata[[#This Row],[Quantity_Sold]]</f>
        <v>106338.14</v>
      </c>
      <c r="P421" s="2">
        <f>_Salesdata[[#This Row],[Unit_Cost]] * _Salesdata[[#This Row],[Quantity_Sold]]</f>
        <v>90991.87000000001</v>
      </c>
      <c r="Q421" s="2">
        <f>_Salesdata[[#This Row],[Gross_Sales]] - _Salesdata[[#This Row],[Total Cost]]</f>
        <v>15346.26999999999</v>
      </c>
      <c r="R421" s="2"/>
    </row>
    <row r="422" spans="1:18" x14ac:dyDescent="0.25">
      <c r="A422">
        <v>1089</v>
      </c>
      <c r="B422" s="1">
        <v>45218</v>
      </c>
      <c r="C422" t="s">
        <v>48</v>
      </c>
      <c r="D422" t="s">
        <v>25</v>
      </c>
      <c r="E422" s="2">
        <v>9933.2199999999993</v>
      </c>
      <c r="F422">
        <v>23</v>
      </c>
      <c r="G422" t="s">
        <v>31</v>
      </c>
      <c r="H422" s="2">
        <v>2120.54</v>
      </c>
      <c r="I422" s="2">
        <v>2597.67</v>
      </c>
      <c r="J422" t="s">
        <v>20</v>
      </c>
      <c r="K422">
        <v>0.26</v>
      </c>
      <c r="L422" t="s">
        <v>28</v>
      </c>
      <c r="M422" t="s">
        <v>32</v>
      </c>
      <c r="N422" t="s">
        <v>49</v>
      </c>
      <c r="O422" s="2">
        <f>_Salesdata[[#This Row],[Unit_Price]] * _Salesdata[[#This Row],[Quantity_Sold]]</f>
        <v>59746.41</v>
      </c>
      <c r="P422" s="2">
        <f>_Salesdata[[#This Row],[Unit_Cost]] * _Salesdata[[#This Row],[Quantity_Sold]]</f>
        <v>48772.42</v>
      </c>
      <c r="Q422" s="2">
        <f>_Salesdata[[#This Row],[Gross_Sales]] - _Salesdata[[#This Row],[Total Cost]]</f>
        <v>10973.990000000005</v>
      </c>
      <c r="R422" s="2"/>
    </row>
    <row r="423" spans="1:18" x14ac:dyDescent="0.25">
      <c r="A423">
        <v>1074</v>
      </c>
      <c r="B423" s="1">
        <v>45255</v>
      </c>
      <c r="C423" t="s">
        <v>48</v>
      </c>
      <c r="D423" t="s">
        <v>37</v>
      </c>
      <c r="E423" s="2">
        <v>3570.15</v>
      </c>
      <c r="F423">
        <v>42</v>
      </c>
      <c r="G423" t="s">
        <v>39</v>
      </c>
      <c r="H423" s="2">
        <v>2120.81</v>
      </c>
      <c r="I423" s="2">
        <v>2611.94</v>
      </c>
      <c r="J423" t="s">
        <v>20</v>
      </c>
      <c r="K423">
        <v>0.23</v>
      </c>
      <c r="L423" t="s">
        <v>21</v>
      </c>
      <c r="M423" t="s">
        <v>22</v>
      </c>
      <c r="N423" t="s">
        <v>52</v>
      </c>
      <c r="O423" s="2">
        <f>_Salesdata[[#This Row],[Unit_Price]] * _Salesdata[[#This Row],[Quantity_Sold]]</f>
        <v>109701.48</v>
      </c>
      <c r="P423" s="2">
        <f>_Salesdata[[#This Row],[Unit_Cost]] * _Salesdata[[#This Row],[Quantity_Sold]]</f>
        <v>89074.02</v>
      </c>
      <c r="Q423" s="2">
        <f>_Salesdata[[#This Row],[Gross_Sales]] - _Salesdata[[#This Row],[Total Cost]]</f>
        <v>20627.459999999992</v>
      </c>
      <c r="R423" s="2"/>
    </row>
    <row r="424" spans="1:18" x14ac:dyDescent="0.25">
      <c r="A424">
        <v>1054</v>
      </c>
      <c r="B424" s="1">
        <v>44981</v>
      </c>
      <c r="C424" t="s">
        <v>24</v>
      </c>
      <c r="D424" t="s">
        <v>37</v>
      </c>
      <c r="E424" s="2">
        <v>5664.52</v>
      </c>
      <c r="F424">
        <v>43</v>
      </c>
      <c r="G424" t="s">
        <v>31</v>
      </c>
      <c r="H424" s="2">
        <v>2124.7199999999998</v>
      </c>
      <c r="I424" s="2">
        <v>2188.66</v>
      </c>
      <c r="J424" t="s">
        <v>20</v>
      </c>
      <c r="K424">
        <v>0.03</v>
      </c>
      <c r="L424" t="s">
        <v>28</v>
      </c>
      <c r="M424" t="s">
        <v>32</v>
      </c>
      <c r="N424" t="s">
        <v>53</v>
      </c>
      <c r="O424" s="2">
        <f>_Salesdata[[#This Row],[Unit_Price]] * _Salesdata[[#This Row],[Quantity_Sold]]</f>
        <v>94112.37999999999</v>
      </c>
      <c r="P424" s="2">
        <f>_Salesdata[[#This Row],[Unit_Cost]] * _Salesdata[[#This Row],[Quantity_Sold]]</f>
        <v>91362.959999999992</v>
      </c>
      <c r="Q424" s="2">
        <f>_Salesdata[[#This Row],[Gross_Sales]] - _Salesdata[[#This Row],[Total Cost]]</f>
        <v>2749.4199999999983</v>
      </c>
      <c r="R424" s="2"/>
    </row>
    <row r="425" spans="1:18" x14ac:dyDescent="0.25">
      <c r="A425">
        <v>1005</v>
      </c>
      <c r="B425" s="1">
        <v>45285</v>
      </c>
      <c r="C425" t="s">
        <v>24</v>
      </c>
      <c r="D425" t="s">
        <v>40</v>
      </c>
      <c r="E425" s="2">
        <v>8635.81</v>
      </c>
      <c r="F425">
        <v>28</v>
      </c>
      <c r="G425" t="s">
        <v>39</v>
      </c>
      <c r="H425" s="2">
        <v>2146.2399999999998</v>
      </c>
      <c r="I425" s="2">
        <v>2173.4699999999998</v>
      </c>
      <c r="J425" t="s">
        <v>20</v>
      </c>
      <c r="K425">
        <v>0.1</v>
      </c>
      <c r="L425" t="s">
        <v>21</v>
      </c>
      <c r="M425" t="s">
        <v>32</v>
      </c>
      <c r="N425" t="s">
        <v>55</v>
      </c>
      <c r="O425" s="2">
        <f>_Salesdata[[#This Row],[Unit_Price]] * _Salesdata[[#This Row],[Quantity_Sold]]</f>
        <v>60857.159999999996</v>
      </c>
      <c r="P425" s="2">
        <f>_Salesdata[[#This Row],[Unit_Cost]] * _Salesdata[[#This Row],[Quantity_Sold]]</f>
        <v>60094.719999999994</v>
      </c>
      <c r="Q425" s="2">
        <f>_Salesdata[[#This Row],[Gross_Sales]] - _Salesdata[[#This Row],[Total Cost]]</f>
        <v>762.44000000000233</v>
      </c>
      <c r="R425" s="2"/>
    </row>
    <row r="426" spans="1:18" x14ac:dyDescent="0.25">
      <c r="A426">
        <v>1073</v>
      </c>
      <c r="B426" s="1">
        <v>45053</v>
      </c>
      <c r="C426" t="s">
        <v>30</v>
      </c>
      <c r="D426" t="s">
        <v>37</v>
      </c>
      <c r="E426" s="2">
        <v>1347.42</v>
      </c>
      <c r="F426">
        <v>29</v>
      </c>
      <c r="G426" t="s">
        <v>19</v>
      </c>
      <c r="H426" s="2">
        <v>2152.6799999999998</v>
      </c>
      <c r="I426" s="2">
        <v>2475.9299999999998</v>
      </c>
      <c r="J426" t="s">
        <v>20</v>
      </c>
      <c r="K426">
        <v>0.22</v>
      </c>
      <c r="L426" t="s">
        <v>44</v>
      </c>
      <c r="M426" t="s">
        <v>22</v>
      </c>
      <c r="N426" t="s">
        <v>51</v>
      </c>
      <c r="O426" s="2">
        <f>_Salesdata[[#This Row],[Unit_Price]] * _Salesdata[[#This Row],[Quantity_Sold]]</f>
        <v>71801.97</v>
      </c>
      <c r="P426" s="2">
        <f>_Salesdata[[#This Row],[Unit_Cost]] * _Salesdata[[#This Row],[Quantity_Sold]]</f>
        <v>62427.719999999994</v>
      </c>
      <c r="Q426" s="2">
        <f>_Salesdata[[#This Row],[Gross_Sales]] - _Salesdata[[#This Row],[Total Cost]]</f>
        <v>9374.2500000000073</v>
      </c>
      <c r="R426" s="2"/>
    </row>
    <row r="427" spans="1:18" x14ac:dyDescent="0.25">
      <c r="A427">
        <v>1001</v>
      </c>
      <c r="B427" s="1">
        <v>45141</v>
      </c>
      <c r="C427" t="s">
        <v>17</v>
      </c>
      <c r="D427" t="s">
        <v>25</v>
      </c>
      <c r="E427" s="2">
        <v>5879.35</v>
      </c>
      <c r="F427">
        <v>20</v>
      </c>
      <c r="G427" t="s">
        <v>31</v>
      </c>
      <c r="H427" s="2">
        <v>2153.52</v>
      </c>
      <c r="I427" s="2">
        <v>2303.6999999999998</v>
      </c>
      <c r="J427" t="s">
        <v>20</v>
      </c>
      <c r="K427">
        <v>0.01</v>
      </c>
      <c r="L427" t="s">
        <v>21</v>
      </c>
      <c r="M427" t="s">
        <v>32</v>
      </c>
      <c r="N427" t="s">
        <v>34</v>
      </c>
      <c r="O427" s="2">
        <f>_Salesdata[[#This Row],[Unit_Price]] * _Salesdata[[#This Row],[Quantity_Sold]]</f>
        <v>46074</v>
      </c>
      <c r="P427" s="2">
        <f>_Salesdata[[#This Row],[Unit_Cost]] * _Salesdata[[#This Row],[Quantity_Sold]]</f>
        <v>43070.400000000001</v>
      </c>
      <c r="Q427" s="2">
        <f>_Salesdata[[#This Row],[Gross_Sales]] - _Salesdata[[#This Row],[Total Cost]]</f>
        <v>3003.5999999999985</v>
      </c>
      <c r="R427" s="2"/>
    </row>
    <row r="428" spans="1:18" x14ac:dyDescent="0.25">
      <c r="A428">
        <v>1050</v>
      </c>
      <c r="B428" s="1">
        <v>45065</v>
      </c>
      <c r="C428" t="s">
        <v>35</v>
      </c>
      <c r="D428" t="s">
        <v>18</v>
      </c>
      <c r="E428" s="2">
        <v>9744.52</v>
      </c>
      <c r="F428">
        <v>35</v>
      </c>
      <c r="G428" t="s">
        <v>19</v>
      </c>
      <c r="H428" s="2">
        <v>2158.69</v>
      </c>
      <c r="I428" s="2">
        <v>2384.38</v>
      </c>
      <c r="J428" t="s">
        <v>20</v>
      </c>
      <c r="K428">
        <v>0.09</v>
      </c>
      <c r="L428" t="s">
        <v>44</v>
      </c>
      <c r="M428" t="s">
        <v>32</v>
      </c>
      <c r="N428" t="s">
        <v>36</v>
      </c>
      <c r="O428" s="2">
        <f>_Salesdata[[#This Row],[Unit_Price]] * _Salesdata[[#This Row],[Quantity_Sold]]</f>
        <v>83453.3</v>
      </c>
      <c r="P428" s="2">
        <f>_Salesdata[[#This Row],[Unit_Cost]] * _Salesdata[[#This Row],[Quantity_Sold]]</f>
        <v>75554.150000000009</v>
      </c>
      <c r="Q428" s="2">
        <f>_Salesdata[[#This Row],[Gross_Sales]] - _Salesdata[[#This Row],[Total Cost]]</f>
        <v>7899.1499999999942</v>
      </c>
      <c r="R428" s="2"/>
    </row>
    <row r="429" spans="1:18" x14ac:dyDescent="0.25">
      <c r="A429">
        <v>1097</v>
      </c>
      <c r="B429" s="1">
        <v>45090</v>
      </c>
      <c r="C429" t="s">
        <v>35</v>
      </c>
      <c r="D429" t="s">
        <v>18</v>
      </c>
      <c r="E429" s="2">
        <v>7509.01</v>
      </c>
      <c r="F429">
        <v>10</v>
      </c>
      <c r="G429" t="s">
        <v>39</v>
      </c>
      <c r="H429" s="2">
        <v>2162.9499999999998</v>
      </c>
      <c r="I429" s="2">
        <v>2191.1899999999901</v>
      </c>
      <c r="J429" t="s">
        <v>20</v>
      </c>
      <c r="K429">
        <v>0.2</v>
      </c>
      <c r="L429" t="s">
        <v>28</v>
      </c>
      <c r="M429" t="s">
        <v>22</v>
      </c>
      <c r="N429" t="s">
        <v>36</v>
      </c>
      <c r="O429" s="2">
        <f>_Salesdata[[#This Row],[Unit_Price]] * _Salesdata[[#This Row],[Quantity_Sold]]</f>
        <v>21911.8999999999</v>
      </c>
      <c r="P429" s="2">
        <f>_Salesdata[[#This Row],[Unit_Cost]] * _Salesdata[[#This Row],[Quantity_Sold]]</f>
        <v>21629.5</v>
      </c>
      <c r="Q429" s="2">
        <f>_Salesdata[[#This Row],[Gross_Sales]] - _Salesdata[[#This Row],[Total Cost]]</f>
        <v>282.39999999989959</v>
      </c>
      <c r="R429" s="2"/>
    </row>
    <row r="430" spans="1:18" x14ac:dyDescent="0.25">
      <c r="A430">
        <v>1067</v>
      </c>
      <c r="B430" s="1">
        <v>45054</v>
      </c>
      <c r="C430" t="s">
        <v>35</v>
      </c>
      <c r="D430" t="s">
        <v>37</v>
      </c>
      <c r="E430" s="2">
        <v>2850.74</v>
      </c>
      <c r="F430">
        <v>32</v>
      </c>
      <c r="G430" t="s">
        <v>31</v>
      </c>
      <c r="H430" s="2">
        <v>2171.79</v>
      </c>
      <c r="I430" s="2">
        <v>2307.64</v>
      </c>
      <c r="J430" t="s">
        <v>20</v>
      </c>
      <c r="K430">
        <v>0.22</v>
      </c>
      <c r="L430" t="s">
        <v>44</v>
      </c>
      <c r="M430" t="s">
        <v>22</v>
      </c>
      <c r="N430" t="s">
        <v>38</v>
      </c>
      <c r="O430" s="2">
        <f>_Salesdata[[#This Row],[Unit_Price]] * _Salesdata[[#This Row],[Quantity_Sold]]</f>
        <v>73844.479999999996</v>
      </c>
      <c r="P430" s="2">
        <f>_Salesdata[[#This Row],[Unit_Cost]] * _Salesdata[[#This Row],[Quantity_Sold]]</f>
        <v>69497.279999999999</v>
      </c>
      <c r="Q430" s="2">
        <f>_Salesdata[[#This Row],[Gross_Sales]] - _Salesdata[[#This Row],[Total Cost]]</f>
        <v>4347.1999999999971</v>
      </c>
      <c r="R430" s="2"/>
    </row>
    <row r="431" spans="1:18" x14ac:dyDescent="0.25">
      <c r="A431">
        <v>1042</v>
      </c>
      <c r="B431" s="1">
        <v>44941</v>
      </c>
      <c r="C431" t="s">
        <v>30</v>
      </c>
      <c r="D431" t="s">
        <v>40</v>
      </c>
      <c r="E431" s="2">
        <v>2298.5500000000002</v>
      </c>
      <c r="F431">
        <v>46</v>
      </c>
      <c r="G431" t="s">
        <v>39</v>
      </c>
      <c r="H431" s="2">
        <v>2172.38</v>
      </c>
      <c r="I431" s="2">
        <v>2367.11</v>
      </c>
      <c r="J431" t="s">
        <v>27</v>
      </c>
      <c r="K431">
        <v>0.16</v>
      </c>
      <c r="L431" t="s">
        <v>21</v>
      </c>
      <c r="M431" t="s">
        <v>32</v>
      </c>
      <c r="N431" t="s">
        <v>41</v>
      </c>
      <c r="O431" s="2">
        <f>_Salesdata[[#This Row],[Unit_Price]] * _Salesdata[[#This Row],[Quantity_Sold]]</f>
        <v>108887.06000000001</v>
      </c>
      <c r="P431" s="2">
        <f>_Salesdata[[#This Row],[Unit_Cost]] * _Salesdata[[#This Row],[Quantity_Sold]]</f>
        <v>99929.48000000001</v>
      </c>
      <c r="Q431" s="2">
        <f>_Salesdata[[#This Row],[Gross_Sales]] - _Salesdata[[#This Row],[Total Cost]]</f>
        <v>8957.5800000000017</v>
      </c>
      <c r="R431" s="2"/>
    </row>
    <row r="432" spans="1:18" x14ac:dyDescent="0.25">
      <c r="A432">
        <v>1044</v>
      </c>
      <c r="B432" s="1">
        <v>45069</v>
      </c>
      <c r="C432" t="s">
        <v>17</v>
      </c>
      <c r="D432" t="s">
        <v>25</v>
      </c>
      <c r="E432" s="2">
        <v>8552.4699999999993</v>
      </c>
      <c r="F432">
        <v>19</v>
      </c>
      <c r="G432" t="s">
        <v>31</v>
      </c>
      <c r="H432" s="2">
        <v>2182.75</v>
      </c>
      <c r="I432" s="2">
        <v>2504.0299999999902</v>
      </c>
      <c r="J432" t="s">
        <v>27</v>
      </c>
      <c r="K432">
        <v>0.01</v>
      </c>
      <c r="L432" t="s">
        <v>44</v>
      </c>
      <c r="M432" t="s">
        <v>22</v>
      </c>
      <c r="N432" t="s">
        <v>34</v>
      </c>
      <c r="O432" s="2">
        <f>_Salesdata[[#This Row],[Unit_Price]] * _Salesdata[[#This Row],[Quantity_Sold]]</f>
        <v>47576.569999999811</v>
      </c>
      <c r="P432" s="2">
        <f>_Salesdata[[#This Row],[Unit_Cost]] * _Salesdata[[#This Row],[Quantity_Sold]]</f>
        <v>41472.25</v>
      </c>
      <c r="Q432" s="2">
        <f>_Salesdata[[#This Row],[Gross_Sales]] - _Salesdata[[#This Row],[Total Cost]]</f>
        <v>6104.3199999998105</v>
      </c>
      <c r="R432" s="2"/>
    </row>
    <row r="433" spans="1:18" x14ac:dyDescent="0.25">
      <c r="A433">
        <v>1090</v>
      </c>
      <c r="B433" s="1">
        <v>45240</v>
      </c>
      <c r="C433" t="s">
        <v>24</v>
      </c>
      <c r="D433" t="s">
        <v>37</v>
      </c>
      <c r="E433" s="2">
        <v>3349.51</v>
      </c>
      <c r="F433">
        <v>16</v>
      </c>
      <c r="G433" t="s">
        <v>19</v>
      </c>
      <c r="H433" s="2">
        <v>2183.37</v>
      </c>
      <c r="I433" s="2">
        <v>2263.3599999999901</v>
      </c>
      <c r="J433" t="s">
        <v>20</v>
      </c>
      <c r="K433">
        <v>0</v>
      </c>
      <c r="L433" t="s">
        <v>44</v>
      </c>
      <c r="M433" t="s">
        <v>32</v>
      </c>
      <c r="N433" t="s">
        <v>53</v>
      </c>
      <c r="O433" s="2">
        <f>_Salesdata[[#This Row],[Unit_Price]] * _Salesdata[[#This Row],[Quantity_Sold]]</f>
        <v>36213.759999999842</v>
      </c>
      <c r="P433" s="2">
        <f>_Salesdata[[#This Row],[Unit_Cost]] * _Salesdata[[#This Row],[Quantity_Sold]]</f>
        <v>34933.919999999998</v>
      </c>
      <c r="Q433" s="2">
        <f>_Salesdata[[#This Row],[Gross_Sales]] - _Salesdata[[#This Row],[Total Cost]]</f>
        <v>1279.8399999998437</v>
      </c>
      <c r="R433" s="2"/>
    </row>
    <row r="434" spans="1:18" x14ac:dyDescent="0.25">
      <c r="A434">
        <v>1091</v>
      </c>
      <c r="B434" s="1">
        <v>45227</v>
      </c>
      <c r="C434" t="s">
        <v>17</v>
      </c>
      <c r="D434" t="s">
        <v>25</v>
      </c>
      <c r="E434" s="2">
        <v>7611.28</v>
      </c>
      <c r="F434">
        <v>39</v>
      </c>
      <c r="G434" t="s">
        <v>39</v>
      </c>
      <c r="H434" s="2">
        <v>2184.4899999999998</v>
      </c>
      <c r="I434" s="2">
        <v>2540.4199999999901</v>
      </c>
      <c r="J434" t="s">
        <v>20</v>
      </c>
      <c r="K434">
        <v>0.27</v>
      </c>
      <c r="L434" t="s">
        <v>44</v>
      </c>
      <c r="M434" t="s">
        <v>22</v>
      </c>
      <c r="N434" t="s">
        <v>34</v>
      </c>
      <c r="O434" s="2">
        <f>_Salesdata[[#This Row],[Unit_Price]] * _Salesdata[[#This Row],[Quantity_Sold]]</f>
        <v>99076.379999999612</v>
      </c>
      <c r="P434" s="2">
        <f>_Salesdata[[#This Row],[Unit_Cost]] * _Salesdata[[#This Row],[Quantity_Sold]]</f>
        <v>85195.109999999986</v>
      </c>
      <c r="Q434" s="2">
        <f>_Salesdata[[#This Row],[Gross_Sales]] - _Salesdata[[#This Row],[Total Cost]]</f>
        <v>13881.269999999626</v>
      </c>
      <c r="R434" s="2"/>
    </row>
    <row r="435" spans="1:18" x14ac:dyDescent="0.25">
      <c r="A435">
        <v>1063</v>
      </c>
      <c r="B435" s="1">
        <v>45264</v>
      </c>
      <c r="C435" t="s">
        <v>30</v>
      </c>
      <c r="D435" t="s">
        <v>40</v>
      </c>
      <c r="E435" s="2">
        <v>2186.85</v>
      </c>
      <c r="F435">
        <v>14</v>
      </c>
      <c r="G435" t="s">
        <v>19</v>
      </c>
      <c r="H435" s="2">
        <v>2188.35</v>
      </c>
      <c r="I435" s="2">
        <v>2605.3599999999901</v>
      </c>
      <c r="J435" t="s">
        <v>20</v>
      </c>
      <c r="K435">
        <v>0.2</v>
      </c>
      <c r="L435" t="s">
        <v>28</v>
      </c>
      <c r="M435" t="s">
        <v>32</v>
      </c>
      <c r="N435" t="s">
        <v>41</v>
      </c>
      <c r="O435" s="2">
        <f>_Salesdata[[#This Row],[Unit_Price]] * _Salesdata[[#This Row],[Quantity_Sold]]</f>
        <v>36475.039999999863</v>
      </c>
      <c r="P435" s="2">
        <f>_Salesdata[[#This Row],[Unit_Cost]] * _Salesdata[[#This Row],[Quantity_Sold]]</f>
        <v>30636.899999999998</v>
      </c>
      <c r="Q435" s="2">
        <f>_Salesdata[[#This Row],[Gross_Sales]] - _Salesdata[[#This Row],[Total Cost]]</f>
        <v>5838.1399999998648</v>
      </c>
      <c r="R435" s="2"/>
    </row>
    <row r="436" spans="1:18" x14ac:dyDescent="0.25">
      <c r="A436">
        <v>1020</v>
      </c>
      <c r="B436" s="1">
        <v>45175</v>
      </c>
      <c r="C436" t="s">
        <v>17</v>
      </c>
      <c r="D436" t="s">
        <v>18</v>
      </c>
      <c r="E436" s="2">
        <v>1958.45</v>
      </c>
      <c r="F436">
        <v>45</v>
      </c>
      <c r="G436" t="s">
        <v>19</v>
      </c>
      <c r="H436" s="2">
        <v>2188.4499999999998</v>
      </c>
      <c r="I436" s="2">
        <v>2255.0499999999902</v>
      </c>
      <c r="J436" t="s">
        <v>27</v>
      </c>
      <c r="K436">
        <v>0.11</v>
      </c>
      <c r="L436" t="s">
        <v>44</v>
      </c>
      <c r="M436" t="s">
        <v>32</v>
      </c>
      <c r="N436" t="s">
        <v>23</v>
      </c>
      <c r="O436" s="2">
        <f>_Salesdata[[#This Row],[Unit_Price]] * _Salesdata[[#This Row],[Quantity_Sold]]</f>
        <v>101477.24999999956</v>
      </c>
      <c r="P436" s="2">
        <f>_Salesdata[[#This Row],[Unit_Cost]] * _Salesdata[[#This Row],[Quantity_Sold]]</f>
        <v>98480.249999999985</v>
      </c>
      <c r="Q436" s="2">
        <f>_Salesdata[[#This Row],[Gross_Sales]] - _Salesdata[[#This Row],[Total Cost]]</f>
        <v>2996.999999999578</v>
      </c>
      <c r="R436" s="2"/>
    </row>
    <row r="437" spans="1:18" x14ac:dyDescent="0.25">
      <c r="A437">
        <v>1040</v>
      </c>
      <c r="B437" s="1">
        <v>45249</v>
      </c>
      <c r="C437" t="s">
        <v>30</v>
      </c>
      <c r="D437" t="s">
        <v>37</v>
      </c>
      <c r="E437" s="2">
        <v>6601.62</v>
      </c>
      <c r="F437">
        <v>47</v>
      </c>
      <c r="G437" t="s">
        <v>26</v>
      </c>
      <c r="H437" s="2">
        <v>2189.54</v>
      </c>
      <c r="I437" s="2">
        <v>2617</v>
      </c>
      <c r="J437" t="s">
        <v>27</v>
      </c>
      <c r="K437">
        <v>0.01</v>
      </c>
      <c r="L437" t="s">
        <v>44</v>
      </c>
      <c r="M437" t="s">
        <v>22</v>
      </c>
      <c r="N437" t="s">
        <v>51</v>
      </c>
      <c r="O437" s="2">
        <f>_Salesdata[[#This Row],[Unit_Price]] * _Salesdata[[#This Row],[Quantity_Sold]]</f>
        <v>122999</v>
      </c>
      <c r="P437" s="2">
        <f>_Salesdata[[#This Row],[Unit_Cost]] * _Salesdata[[#This Row],[Quantity_Sold]]</f>
        <v>102908.38</v>
      </c>
      <c r="Q437" s="2">
        <f>_Salesdata[[#This Row],[Gross_Sales]] - _Salesdata[[#This Row],[Total Cost]]</f>
        <v>20090.619999999995</v>
      </c>
      <c r="R437" s="2"/>
    </row>
    <row r="438" spans="1:18" x14ac:dyDescent="0.25">
      <c r="A438">
        <v>1003</v>
      </c>
      <c r="B438" s="1">
        <v>45132</v>
      </c>
      <c r="C438" t="s">
        <v>48</v>
      </c>
      <c r="D438" t="s">
        <v>25</v>
      </c>
      <c r="E438" s="2">
        <v>5617.64</v>
      </c>
      <c r="F438">
        <v>5</v>
      </c>
      <c r="G438" t="s">
        <v>31</v>
      </c>
      <c r="H438" s="2">
        <v>2206.58</v>
      </c>
      <c r="I438" s="2">
        <v>2490.4699999999998</v>
      </c>
      <c r="J438" t="s">
        <v>27</v>
      </c>
      <c r="K438">
        <v>0.28000000000000003</v>
      </c>
      <c r="L438" t="s">
        <v>21</v>
      </c>
      <c r="M438" t="s">
        <v>22</v>
      </c>
      <c r="N438" t="s">
        <v>49</v>
      </c>
      <c r="O438" s="2">
        <f>_Salesdata[[#This Row],[Unit_Price]] * _Salesdata[[#This Row],[Quantity_Sold]]</f>
        <v>12452.349999999999</v>
      </c>
      <c r="P438" s="2">
        <f>_Salesdata[[#This Row],[Unit_Cost]] * _Salesdata[[#This Row],[Quantity_Sold]]</f>
        <v>11032.9</v>
      </c>
      <c r="Q438" s="2">
        <f>_Salesdata[[#This Row],[Gross_Sales]] - _Salesdata[[#This Row],[Total Cost]]</f>
        <v>1419.4499999999989</v>
      </c>
      <c r="R438" s="2"/>
    </row>
    <row r="439" spans="1:18" x14ac:dyDescent="0.25">
      <c r="A439">
        <v>1060</v>
      </c>
      <c r="B439" s="1">
        <v>45000</v>
      </c>
      <c r="C439" t="s">
        <v>30</v>
      </c>
      <c r="D439" t="s">
        <v>40</v>
      </c>
      <c r="E439" s="2">
        <v>8594.43</v>
      </c>
      <c r="F439">
        <v>44</v>
      </c>
      <c r="G439" t="s">
        <v>19</v>
      </c>
      <c r="H439" s="2">
        <v>2211.9499999999998</v>
      </c>
      <c r="I439" s="2">
        <v>2512.8399999999901</v>
      </c>
      <c r="J439" t="s">
        <v>20</v>
      </c>
      <c r="K439">
        <v>0.04</v>
      </c>
      <c r="L439" t="s">
        <v>21</v>
      </c>
      <c r="M439" t="s">
        <v>22</v>
      </c>
      <c r="N439" t="s">
        <v>41</v>
      </c>
      <c r="O439" s="2">
        <f>_Salesdata[[#This Row],[Unit_Price]] * _Salesdata[[#This Row],[Quantity_Sold]]</f>
        <v>110564.95999999957</v>
      </c>
      <c r="P439" s="2">
        <f>_Salesdata[[#This Row],[Unit_Cost]] * _Salesdata[[#This Row],[Quantity_Sold]]</f>
        <v>97325.799999999988</v>
      </c>
      <c r="Q439" s="2">
        <f>_Salesdata[[#This Row],[Gross_Sales]] - _Salesdata[[#This Row],[Total Cost]]</f>
        <v>13239.159999999581</v>
      </c>
      <c r="R439" s="2"/>
    </row>
    <row r="440" spans="1:18" x14ac:dyDescent="0.25">
      <c r="A440">
        <v>1044</v>
      </c>
      <c r="B440" s="1">
        <v>44971</v>
      </c>
      <c r="C440" t="s">
        <v>30</v>
      </c>
      <c r="D440" t="s">
        <v>25</v>
      </c>
      <c r="E440" s="2">
        <v>9396.7800000000007</v>
      </c>
      <c r="F440">
        <v>12</v>
      </c>
      <c r="G440" t="s">
        <v>26</v>
      </c>
      <c r="H440" s="2">
        <v>2221.31</v>
      </c>
      <c r="I440" s="2">
        <v>2494.48</v>
      </c>
      <c r="J440" t="s">
        <v>20</v>
      </c>
      <c r="K440">
        <v>0.22</v>
      </c>
      <c r="L440" t="s">
        <v>44</v>
      </c>
      <c r="M440" t="s">
        <v>22</v>
      </c>
      <c r="N440" t="s">
        <v>45</v>
      </c>
      <c r="O440" s="2">
        <f>_Salesdata[[#This Row],[Unit_Price]] * _Salesdata[[#This Row],[Quantity_Sold]]</f>
        <v>29933.760000000002</v>
      </c>
      <c r="P440" s="2">
        <f>_Salesdata[[#This Row],[Unit_Cost]] * _Salesdata[[#This Row],[Quantity_Sold]]</f>
        <v>26655.72</v>
      </c>
      <c r="Q440" s="2">
        <f>_Salesdata[[#This Row],[Gross_Sales]] - _Salesdata[[#This Row],[Total Cost]]</f>
        <v>3278.0400000000009</v>
      </c>
      <c r="R440" s="2"/>
    </row>
    <row r="441" spans="1:18" x14ac:dyDescent="0.25">
      <c r="A441">
        <v>1075</v>
      </c>
      <c r="B441" s="1">
        <v>45208</v>
      </c>
      <c r="C441" t="s">
        <v>35</v>
      </c>
      <c r="D441" t="s">
        <v>25</v>
      </c>
      <c r="E441" s="2">
        <v>8239.58</v>
      </c>
      <c r="F441">
        <v>18</v>
      </c>
      <c r="G441" t="s">
        <v>19</v>
      </c>
      <c r="H441" s="2">
        <v>2228.35</v>
      </c>
      <c r="I441" s="2">
        <v>2682.34</v>
      </c>
      <c r="J441" t="s">
        <v>27</v>
      </c>
      <c r="K441">
        <v>0.13</v>
      </c>
      <c r="L441" t="s">
        <v>44</v>
      </c>
      <c r="M441" t="s">
        <v>22</v>
      </c>
      <c r="N441" t="s">
        <v>56</v>
      </c>
      <c r="O441" s="2">
        <f>_Salesdata[[#This Row],[Unit_Price]] * _Salesdata[[#This Row],[Quantity_Sold]]</f>
        <v>48282.12</v>
      </c>
      <c r="P441" s="2">
        <f>_Salesdata[[#This Row],[Unit_Cost]] * _Salesdata[[#This Row],[Quantity_Sold]]</f>
        <v>40110.299999999996</v>
      </c>
      <c r="Q441" s="2">
        <f>_Salesdata[[#This Row],[Gross_Sales]] - _Salesdata[[#This Row],[Total Cost]]</f>
        <v>8171.820000000007</v>
      </c>
      <c r="R441" s="2"/>
    </row>
    <row r="442" spans="1:18" x14ac:dyDescent="0.25">
      <c r="A442">
        <v>1012</v>
      </c>
      <c r="B442" s="1">
        <v>45275</v>
      </c>
      <c r="C442" t="s">
        <v>17</v>
      </c>
      <c r="D442" t="s">
        <v>25</v>
      </c>
      <c r="E442" s="2">
        <v>8821.6299999999992</v>
      </c>
      <c r="F442">
        <v>13</v>
      </c>
      <c r="G442" t="s">
        <v>26</v>
      </c>
      <c r="H442" s="2">
        <v>2231.66</v>
      </c>
      <c r="I442" s="2">
        <v>2596.6099999999901</v>
      </c>
      <c r="J442" t="s">
        <v>20</v>
      </c>
      <c r="K442">
        <v>0.09</v>
      </c>
      <c r="L442" t="s">
        <v>44</v>
      </c>
      <c r="M442" t="s">
        <v>32</v>
      </c>
      <c r="N442" t="s">
        <v>34</v>
      </c>
      <c r="O442" s="2">
        <f>_Salesdata[[#This Row],[Unit_Price]] * _Salesdata[[#This Row],[Quantity_Sold]]</f>
        <v>33755.929999999869</v>
      </c>
      <c r="P442" s="2">
        <f>_Salesdata[[#This Row],[Unit_Cost]] * _Salesdata[[#This Row],[Quantity_Sold]]</f>
        <v>29011.579999999998</v>
      </c>
      <c r="Q442" s="2">
        <f>_Salesdata[[#This Row],[Gross_Sales]] - _Salesdata[[#This Row],[Total Cost]]</f>
        <v>4744.3499999998712</v>
      </c>
      <c r="R442" s="2"/>
    </row>
    <row r="443" spans="1:18" x14ac:dyDescent="0.25">
      <c r="A443">
        <v>1064</v>
      </c>
      <c r="B443" s="1">
        <v>44928</v>
      </c>
      <c r="C443" t="s">
        <v>30</v>
      </c>
      <c r="D443" t="s">
        <v>40</v>
      </c>
      <c r="E443" s="2">
        <v>5533.7</v>
      </c>
      <c r="F443">
        <v>10</v>
      </c>
      <c r="G443" t="s">
        <v>26</v>
      </c>
      <c r="H443" s="2">
        <v>2242.0100000000002</v>
      </c>
      <c r="I443" s="2">
        <v>2282.23</v>
      </c>
      <c r="J443" t="s">
        <v>20</v>
      </c>
      <c r="K443">
        <v>0.2</v>
      </c>
      <c r="L443" t="s">
        <v>28</v>
      </c>
      <c r="M443" t="s">
        <v>22</v>
      </c>
      <c r="N443" t="s">
        <v>41</v>
      </c>
      <c r="O443" s="2">
        <f>_Salesdata[[#This Row],[Unit_Price]] * _Salesdata[[#This Row],[Quantity_Sold]]</f>
        <v>22822.3</v>
      </c>
      <c r="P443" s="2">
        <f>_Salesdata[[#This Row],[Unit_Cost]] * _Salesdata[[#This Row],[Quantity_Sold]]</f>
        <v>22420.100000000002</v>
      </c>
      <c r="Q443" s="2">
        <f>_Salesdata[[#This Row],[Gross_Sales]] - _Salesdata[[#This Row],[Total Cost]]</f>
        <v>402.19999999999709</v>
      </c>
      <c r="R443" s="2"/>
    </row>
    <row r="444" spans="1:18" x14ac:dyDescent="0.25">
      <c r="A444">
        <v>1086</v>
      </c>
      <c r="B444" s="1">
        <v>45107</v>
      </c>
      <c r="C444" t="s">
        <v>17</v>
      </c>
      <c r="D444" t="s">
        <v>37</v>
      </c>
      <c r="E444" s="2">
        <v>8414.0400000000009</v>
      </c>
      <c r="F444">
        <v>46</v>
      </c>
      <c r="G444" t="s">
        <v>19</v>
      </c>
      <c r="H444" s="2">
        <v>2245.64</v>
      </c>
      <c r="I444" s="2">
        <v>2260.81</v>
      </c>
      <c r="J444" t="s">
        <v>27</v>
      </c>
      <c r="K444">
        <v>0</v>
      </c>
      <c r="L444" t="s">
        <v>21</v>
      </c>
      <c r="M444" t="s">
        <v>32</v>
      </c>
      <c r="N444" t="s">
        <v>47</v>
      </c>
      <c r="O444" s="2">
        <f>_Salesdata[[#This Row],[Unit_Price]] * _Salesdata[[#This Row],[Quantity_Sold]]</f>
        <v>103997.26</v>
      </c>
      <c r="P444" s="2">
        <f>_Salesdata[[#This Row],[Unit_Cost]] * _Salesdata[[#This Row],[Quantity_Sold]]</f>
        <v>103299.43999999999</v>
      </c>
      <c r="Q444" s="2">
        <f>_Salesdata[[#This Row],[Gross_Sales]] - _Salesdata[[#This Row],[Total Cost]]</f>
        <v>697.82000000000698</v>
      </c>
      <c r="R444" s="2"/>
    </row>
    <row r="445" spans="1:18" x14ac:dyDescent="0.25">
      <c r="A445">
        <v>1089</v>
      </c>
      <c r="B445" s="1">
        <v>45193</v>
      </c>
      <c r="C445" t="s">
        <v>17</v>
      </c>
      <c r="D445" t="s">
        <v>40</v>
      </c>
      <c r="E445" s="2">
        <v>2975.99</v>
      </c>
      <c r="F445">
        <v>48</v>
      </c>
      <c r="G445" t="s">
        <v>31</v>
      </c>
      <c r="H445" s="2">
        <v>2246.67</v>
      </c>
      <c r="I445" s="2">
        <v>2486.14</v>
      </c>
      <c r="J445" t="s">
        <v>27</v>
      </c>
      <c r="K445">
        <v>0.03</v>
      </c>
      <c r="L445" t="s">
        <v>21</v>
      </c>
      <c r="M445" t="s">
        <v>32</v>
      </c>
      <c r="N445" t="s">
        <v>42</v>
      </c>
      <c r="O445" s="2">
        <f>_Salesdata[[#This Row],[Unit_Price]] * _Salesdata[[#This Row],[Quantity_Sold]]</f>
        <v>119334.72</v>
      </c>
      <c r="P445" s="2">
        <f>_Salesdata[[#This Row],[Unit_Cost]] * _Salesdata[[#This Row],[Quantity_Sold]]</f>
        <v>107840.16</v>
      </c>
      <c r="Q445" s="2">
        <f>_Salesdata[[#This Row],[Gross_Sales]] - _Salesdata[[#This Row],[Total Cost]]</f>
        <v>11494.559999999998</v>
      </c>
      <c r="R445" s="2"/>
    </row>
    <row r="446" spans="1:18" x14ac:dyDescent="0.25">
      <c r="A446">
        <v>1086</v>
      </c>
      <c r="B446" s="1">
        <v>45050</v>
      </c>
      <c r="C446" t="s">
        <v>17</v>
      </c>
      <c r="D446" t="s">
        <v>25</v>
      </c>
      <c r="E446" s="2">
        <v>7841.4</v>
      </c>
      <c r="F446">
        <v>25</v>
      </c>
      <c r="G446" t="s">
        <v>31</v>
      </c>
      <c r="H446" s="2">
        <v>2248.71</v>
      </c>
      <c r="I446" s="2">
        <v>2626.02</v>
      </c>
      <c r="J446" t="s">
        <v>27</v>
      </c>
      <c r="K446">
        <v>0.08</v>
      </c>
      <c r="L446" t="s">
        <v>44</v>
      </c>
      <c r="M446" t="s">
        <v>22</v>
      </c>
      <c r="N446" t="s">
        <v>34</v>
      </c>
      <c r="O446" s="2">
        <f>_Salesdata[[#This Row],[Unit_Price]] * _Salesdata[[#This Row],[Quantity_Sold]]</f>
        <v>65650.5</v>
      </c>
      <c r="P446" s="2">
        <f>_Salesdata[[#This Row],[Unit_Cost]] * _Salesdata[[#This Row],[Quantity_Sold]]</f>
        <v>56217.75</v>
      </c>
      <c r="Q446" s="2">
        <f>_Salesdata[[#This Row],[Gross_Sales]] - _Salesdata[[#This Row],[Total Cost]]</f>
        <v>9432.75</v>
      </c>
      <c r="R446" s="2"/>
    </row>
    <row r="447" spans="1:18" x14ac:dyDescent="0.25">
      <c r="A447">
        <v>1058</v>
      </c>
      <c r="B447" s="1">
        <v>44994</v>
      </c>
      <c r="C447" t="s">
        <v>48</v>
      </c>
      <c r="D447" t="s">
        <v>40</v>
      </c>
      <c r="E447" s="2">
        <v>3788.08</v>
      </c>
      <c r="F447">
        <v>40</v>
      </c>
      <c r="G447" t="s">
        <v>39</v>
      </c>
      <c r="H447" s="2">
        <v>2249.7600000000002</v>
      </c>
      <c r="I447" s="2">
        <v>2598.4</v>
      </c>
      <c r="J447" t="s">
        <v>20</v>
      </c>
      <c r="K447">
        <v>0.18</v>
      </c>
      <c r="L447" t="s">
        <v>28</v>
      </c>
      <c r="M447" t="s">
        <v>32</v>
      </c>
      <c r="N447" t="s">
        <v>50</v>
      </c>
      <c r="O447" s="2">
        <f>_Salesdata[[#This Row],[Unit_Price]] * _Salesdata[[#This Row],[Quantity_Sold]]</f>
        <v>103936</v>
      </c>
      <c r="P447" s="2">
        <f>_Salesdata[[#This Row],[Unit_Cost]] * _Salesdata[[#This Row],[Quantity_Sold]]</f>
        <v>89990.400000000009</v>
      </c>
      <c r="Q447" s="2">
        <f>_Salesdata[[#This Row],[Gross_Sales]] - _Salesdata[[#This Row],[Total Cost]]</f>
        <v>13945.599999999991</v>
      </c>
      <c r="R447" s="2"/>
    </row>
    <row r="448" spans="1:18" x14ac:dyDescent="0.25">
      <c r="A448">
        <v>1058</v>
      </c>
      <c r="B448" s="1">
        <v>45280</v>
      </c>
      <c r="C448" t="s">
        <v>30</v>
      </c>
      <c r="D448" t="s">
        <v>37</v>
      </c>
      <c r="E448" s="2">
        <v>2782.33</v>
      </c>
      <c r="F448">
        <v>2</v>
      </c>
      <c r="G448" t="s">
        <v>19</v>
      </c>
      <c r="H448" s="2">
        <v>2250.91</v>
      </c>
      <c r="I448" s="2">
        <v>2558.6799999999998</v>
      </c>
      <c r="J448" t="s">
        <v>27</v>
      </c>
      <c r="K448">
        <v>0.09</v>
      </c>
      <c r="L448" t="s">
        <v>28</v>
      </c>
      <c r="M448" t="s">
        <v>32</v>
      </c>
      <c r="N448" t="s">
        <v>51</v>
      </c>
      <c r="O448" s="2">
        <f>_Salesdata[[#This Row],[Unit_Price]] * _Salesdata[[#This Row],[Quantity_Sold]]</f>
        <v>5117.3599999999997</v>
      </c>
      <c r="P448" s="2">
        <f>_Salesdata[[#This Row],[Unit_Cost]] * _Salesdata[[#This Row],[Quantity_Sold]]</f>
        <v>4501.82</v>
      </c>
      <c r="Q448" s="2">
        <f>_Salesdata[[#This Row],[Gross_Sales]] - _Salesdata[[#This Row],[Total Cost]]</f>
        <v>615.54</v>
      </c>
      <c r="R448" s="2"/>
    </row>
    <row r="449" spans="1:18" x14ac:dyDescent="0.25">
      <c r="A449">
        <v>1096</v>
      </c>
      <c r="B449" s="1">
        <v>45081</v>
      </c>
      <c r="C449" t="s">
        <v>17</v>
      </c>
      <c r="D449" t="s">
        <v>40</v>
      </c>
      <c r="E449" s="2">
        <v>9019.51</v>
      </c>
      <c r="F449">
        <v>14</v>
      </c>
      <c r="G449" t="s">
        <v>39</v>
      </c>
      <c r="H449" s="2">
        <v>2251.9499999999998</v>
      </c>
      <c r="I449" s="2">
        <v>2626.3199999999902</v>
      </c>
      <c r="J449" t="s">
        <v>20</v>
      </c>
      <c r="K449">
        <v>0.21</v>
      </c>
      <c r="L449" t="s">
        <v>28</v>
      </c>
      <c r="M449" t="s">
        <v>22</v>
      </c>
      <c r="N449" t="s">
        <v>42</v>
      </c>
      <c r="O449" s="2">
        <f>_Salesdata[[#This Row],[Unit_Price]] * _Salesdata[[#This Row],[Quantity_Sold]]</f>
        <v>36768.479999999865</v>
      </c>
      <c r="P449" s="2">
        <f>_Salesdata[[#This Row],[Unit_Cost]] * _Salesdata[[#This Row],[Quantity_Sold]]</f>
        <v>31527.299999999996</v>
      </c>
      <c r="Q449" s="2">
        <f>_Salesdata[[#This Row],[Gross_Sales]] - _Salesdata[[#This Row],[Total Cost]]</f>
        <v>5241.1799999998693</v>
      </c>
      <c r="R449" s="2"/>
    </row>
    <row r="450" spans="1:18" x14ac:dyDescent="0.25">
      <c r="A450">
        <v>1085</v>
      </c>
      <c r="B450" s="1">
        <v>45084</v>
      </c>
      <c r="C450" t="s">
        <v>35</v>
      </c>
      <c r="D450" t="s">
        <v>18</v>
      </c>
      <c r="E450" s="2">
        <v>2070.02</v>
      </c>
      <c r="F450">
        <v>42</v>
      </c>
      <c r="G450" t="s">
        <v>19</v>
      </c>
      <c r="H450" s="2">
        <v>2254.11</v>
      </c>
      <c r="I450" s="2">
        <v>2382.23</v>
      </c>
      <c r="J450" t="s">
        <v>20</v>
      </c>
      <c r="K450">
        <v>0.15</v>
      </c>
      <c r="L450" t="s">
        <v>28</v>
      </c>
      <c r="M450" t="s">
        <v>32</v>
      </c>
      <c r="N450" t="s">
        <v>36</v>
      </c>
      <c r="O450" s="2">
        <f>_Salesdata[[#This Row],[Unit_Price]] * _Salesdata[[#This Row],[Quantity_Sold]]</f>
        <v>100053.66</v>
      </c>
      <c r="P450" s="2">
        <f>_Salesdata[[#This Row],[Unit_Cost]] * _Salesdata[[#This Row],[Quantity_Sold]]</f>
        <v>94672.62000000001</v>
      </c>
      <c r="Q450" s="2">
        <f>_Salesdata[[#This Row],[Gross_Sales]] - _Salesdata[[#This Row],[Total Cost]]</f>
        <v>5381.0399999999936</v>
      </c>
      <c r="R450" s="2"/>
    </row>
    <row r="451" spans="1:18" x14ac:dyDescent="0.25">
      <c r="A451">
        <v>1021</v>
      </c>
      <c r="B451" s="1">
        <v>45257</v>
      </c>
      <c r="C451" t="s">
        <v>24</v>
      </c>
      <c r="D451" t="s">
        <v>40</v>
      </c>
      <c r="E451" s="2">
        <v>6483.84</v>
      </c>
      <c r="F451">
        <v>31</v>
      </c>
      <c r="G451" t="s">
        <v>39</v>
      </c>
      <c r="H451" s="2">
        <v>2254.9899999999998</v>
      </c>
      <c r="I451" s="2">
        <v>2441.79</v>
      </c>
      <c r="J451" t="s">
        <v>20</v>
      </c>
      <c r="K451">
        <v>0.24</v>
      </c>
      <c r="L451" t="s">
        <v>44</v>
      </c>
      <c r="M451" t="s">
        <v>22</v>
      </c>
      <c r="N451" t="s">
        <v>55</v>
      </c>
      <c r="O451" s="2">
        <f>_Salesdata[[#This Row],[Unit_Price]] * _Salesdata[[#This Row],[Quantity_Sold]]</f>
        <v>75695.490000000005</v>
      </c>
      <c r="P451" s="2">
        <f>_Salesdata[[#This Row],[Unit_Cost]] * _Salesdata[[#This Row],[Quantity_Sold]]</f>
        <v>69904.689999999988</v>
      </c>
      <c r="Q451" s="2">
        <f>_Salesdata[[#This Row],[Gross_Sales]] - _Salesdata[[#This Row],[Total Cost]]</f>
        <v>5790.8000000000175</v>
      </c>
      <c r="R451" s="2"/>
    </row>
    <row r="452" spans="1:18" x14ac:dyDescent="0.25">
      <c r="A452">
        <v>1014</v>
      </c>
      <c r="B452" s="1">
        <v>44968</v>
      </c>
      <c r="C452" t="s">
        <v>30</v>
      </c>
      <c r="D452" t="s">
        <v>25</v>
      </c>
      <c r="E452" s="2">
        <v>823.51</v>
      </c>
      <c r="F452">
        <v>44</v>
      </c>
      <c r="G452" t="s">
        <v>31</v>
      </c>
      <c r="H452" s="2">
        <v>2257.48</v>
      </c>
      <c r="I452" s="2">
        <v>2747.81</v>
      </c>
      <c r="J452" t="s">
        <v>20</v>
      </c>
      <c r="K452">
        <v>0.27</v>
      </c>
      <c r="L452" t="s">
        <v>21</v>
      </c>
      <c r="M452" t="s">
        <v>22</v>
      </c>
      <c r="N452" t="s">
        <v>45</v>
      </c>
      <c r="O452" s="2">
        <f>_Salesdata[[#This Row],[Unit_Price]] * _Salesdata[[#This Row],[Quantity_Sold]]</f>
        <v>120903.64</v>
      </c>
      <c r="P452" s="2">
        <f>_Salesdata[[#This Row],[Unit_Cost]] * _Salesdata[[#This Row],[Quantity_Sold]]</f>
        <v>99329.12</v>
      </c>
      <c r="Q452" s="2">
        <f>_Salesdata[[#This Row],[Gross_Sales]] - _Salesdata[[#This Row],[Total Cost]]</f>
        <v>21574.520000000004</v>
      </c>
      <c r="R452" s="2"/>
    </row>
    <row r="453" spans="1:18" x14ac:dyDescent="0.25">
      <c r="A453">
        <v>1053</v>
      </c>
      <c r="B453" s="1">
        <v>45229</v>
      </c>
      <c r="C453" t="s">
        <v>30</v>
      </c>
      <c r="D453" t="s">
        <v>37</v>
      </c>
      <c r="E453" s="2">
        <v>6033.09</v>
      </c>
      <c r="F453">
        <v>1</v>
      </c>
      <c r="G453" t="s">
        <v>31</v>
      </c>
      <c r="H453" s="2">
        <v>2258.44</v>
      </c>
      <c r="I453" s="2">
        <v>2475.56</v>
      </c>
      <c r="J453" t="s">
        <v>27</v>
      </c>
      <c r="K453">
        <v>0.25</v>
      </c>
      <c r="L453" t="s">
        <v>21</v>
      </c>
      <c r="M453" t="s">
        <v>22</v>
      </c>
      <c r="N453" t="s">
        <v>51</v>
      </c>
      <c r="O453" s="2">
        <f>_Salesdata[[#This Row],[Unit_Price]] * _Salesdata[[#This Row],[Quantity_Sold]]</f>
        <v>2475.56</v>
      </c>
      <c r="P453" s="2">
        <f>_Salesdata[[#This Row],[Unit_Cost]] * _Salesdata[[#This Row],[Quantity_Sold]]</f>
        <v>2258.44</v>
      </c>
      <c r="Q453" s="2">
        <f>_Salesdata[[#This Row],[Gross_Sales]] - _Salesdata[[#This Row],[Total Cost]]</f>
        <v>217.11999999999989</v>
      </c>
      <c r="R453" s="2"/>
    </row>
    <row r="454" spans="1:18" x14ac:dyDescent="0.25">
      <c r="A454">
        <v>1077</v>
      </c>
      <c r="B454" s="1">
        <v>45262</v>
      </c>
      <c r="C454" t="s">
        <v>30</v>
      </c>
      <c r="D454" t="s">
        <v>18</v>
      </c>
      <c r="E454" s="2">
        <v>1960.41</v>
      </c>
      <c r="F454">
        <v>24</v>
      </c>
      <c r="G454" t="s">
        <v>26</v>
      </c>
      <c r="H454" s="2">
        <v>2258.54</v>
      </c>
      <c r="I454" s="2">
        <v>2439.4899999999998</v>
      </c>
      <c r="J454" t="s">
        <v>20</v>
      </c>
      <c r="K454">
        <v>0.2</v>
      </c>
      <c r="L454" t="s">
        <v>28</v>
      </c>
      <c r="M454" t="s">
        <v>32</v>
      </c>
      <c r="N454" t="s">
        <v>33</v>
      </c>
      <c r="O454" s="2">
        <f>_Salesdata[[#This Row],[Unit_Price]] * _Salesdata[[#This Row],[Quantity_Sold]]</f>
        <v>58547.759999999995</v>
      </c>
      <c r="P454" s="2">
        <f>_Salesdata[[#This Row],[Unit_Cost]] * _Salesdata[[#This Row],[Quantity_Sold]]</f>
        <v>54204.959999999999</v>
      </c>
      <c r="Q454" s="2">
        <f>_Salesdata[[#This Row],[Gross_Sales]] - _Salesdata[[#This Row],[Total Cost]]</f>
        <v>4342.7999999999956</v>
      </c>
      <c r="R454" s="2"/>
    </row>
    <row r="455" spans="1:18" x14ac:dyDescent="0.25">
      <c r="A455">
        <v>1022</v>
      </c>
      <c r="B455" s="1">
        <v>45078</v>
      </c>
      <c r="C455" t="s">
        <v>30</v>
      </c>
      <c r="D455" t="s">
        <v>18</v>
      </c>
      <c r="E455" s="2">
        <v>8913.1299999999992</v>
      </c>
      <c r="F455">
        <v>9</v>
      </c>
      <c r="G455" t="s">
        <v>26</v>
      </c>
      <c r="H455" s="2">
        <v>2263.65</v>
      </c>
      <c r="I455" s="2">
        <v>2558.9499999999998</v>
      </c>
      <c r="J455" t="s">
        <v>27</v>
      </c>
      <c r="K455">
        <v>0.03</v>
      </c>
      <c r="L455" t="s">
        <v>21</v>
      </c>
      <c r="M455" t="s">
        <v>22</v>
      </c>
      <c r="N455" t="s">
        <v>33</v>
      </c>
      <c r="O455" s="2">
        <f>_Salesdata[[#This Row],[Unit_Price]] * _Salesdata[[#This Row],[Quantity_Sold]]</f>
        <v>23030.55</v>
      </c>
      <c r="P455" s="2">
        <f>_Salesdata[[#This Row],[Unit_Cost]] * _Salesdata[[#This Row],[Quantity_Sold]]</f>
        <v>20372.850000000002</v>
      </c>
      <c r="Q455" s="2">
        <f>_Salesdata[[#This Row],[Gross_Sales]] - _Salesdata[[#This Row],[Total Cost]]</f>
        <v>2657.6999999999971</v>
      </c>
      <c r="R455" s="2"/>
    </row>
    <row r="456" spans="1:18" x14ac:dyDescent="0.25">
      <c r="A456">
        <v>1010</v>
      </c>
      <c r="B456" s="1">
        <v>44973</v>
      </c>
      <c r="C456" t="s">
        <v>30</v>
      </c>
      <c r="D456" t="s">
        <v>18</v>
      </c>
      <c r="E456" s="2">
        <v>1678.97</v>
      </c>
      <c r="F456">
        <v>47</v>
      </c>
      <c r="G456" t="s">
        <v>39</v>
      </c>
      <c r="H456" s="2">
        <v>2265.38</v>
      </c>
      <c r="I456" s="2">
        <v>2429.9299999999998</v>
      </c>
      <c r="J456" t="s">
        <v>20</v>
      </c>
      <c r="K456">
        <v>0.06</v>
      </c>
      <c r="L456" t="s">
        <v>44</v>
      </c>
      <c r="M456" t="s">
        <v>22</v>
      </c>
      <c r="N456" t="s">
        <v>33</v>
      </c>
      <c r="O456" s="2">
        <f>_Salesdata[[#This Row],[Unit_Price]] * _Salesdata[[#This Row],[Quantity_Sold]]</f>
        <v>114206.70999999999</v>
      </c>
      <c r="P456" s="2">
        <f>_Salesdata[[#This Row],[Unit_Cost]] * _Salesdata[[#This Row],[Quantity_Sold]]</f>
        <v>106472.86</v>
      </c>
      <c r="Q456" s="2">
        <f>_Salesdata[[#This Row],[Gross_Sales]] - _Salesdata[[#This Row],[Total Cost]]</f>
        <v>7733.8499999999913</v>
      </c>
      <c r="R456" s="2"/>
    </row>
    <row r="457" spans="1:18" x14ac:dyDescent="0.25">
      <c r="A457">
        <v>1008</v>
      </c>
      <c r="B457" s="1">
        <v>44981</v>
      </c>
      <c r="C457" t="s">
        <v>48</v>
      </c>
      <c r="D457" t="s">
        <v>25</v>
      </c>
      <c r="E457" s="2">
        <v>5751.69</v>
      </c>
      <c r="F457">
        <v>22</v>
      </c>
      <c r="G457" t="s">
        <v>26</v>
      </c>
      <c r="H457" s="2">
        <v>2269.3200000000002</v>
      </c>
      <c r="I457" s="2">
        <v>2365.35</v>
      </c>
      <c r="J457" t="s">
        <v>27</v>
      </c>
      <c r="K457">
        <v>0.03</v>
      </c>
      <c r="L457" t="s">
        <v>21</v>
      </c>
      <c r="M457" t="s">
        <v>32</v>
      </c>
      <c r="N457" t="s">
        <v>49</v>
      </c>
      <c r="O457" s="2">
        <f>_Salesdata[[#This Row],[Unit_Price]] * _Salesdata[[#This Row],[Quantity_Sold]]</f>
        <v>52037.7</v>
      </c>
      <c r="P457" s="2">
        <f>_Salesdata[[#This Row],[Unit_Cost]] * _Salesdata[[#This Row],[Quantity_Sold]]</f>
        <v>49925.04</v>
      </c>
      <c r="Q457" s="2">
        <f>_Salesdata[[#This Row],[Gross_Sales]] - _Salesdata[[#This Row],[Total Cost]]</f>
        <v>2112.6599999999962</v>
      </c>
      <c r="R457" s="2"/>
    </row>
    <row r="458" spans="1:18" x14ac:dyDescent="0.25">
      <c r="A458">
        <v>1092</v>
      </c>
      <c r="B458" s="1">
        <v>45273</v>
      </c>
      <c r="C458" t="s">
        <v>35</v>
      </c>
      <c r="D458" t="s">
        <v>37</v>
      </c>
      <c r="E458" s="2">
        <v>3206.89</v>
      </c>
      <c r="F458">
        <v>15</v>
      </c>
      <c r="G458" t="s">
        <v>19</v>
      </c>
      <c r="H458" s="2">
        <v>2273.88</v>
      </c>
      <c r="I458" s="2">
        <v>2696.02</v>
      </c>
      <c r="J458" t="s">
        <v>27</v>
      </c>
      <c r="K458">
        <v>0.3</v>
      </c>
      <c r="L458" t="s">
        <v>21</v>
      </c>
      <c r="M458" t="s">
        <v>22</v>
      </c>
      <c r="N458" t="s">
        <v>38</v>
      </c>
      <c r="O458" s="2">
        <f>_Salesdata[[#This Row],[Unit_Price]] * _Salesdata[[#This Row],[Quantity_Sold]]</f>
        <v>40440.300000000003</v>
      </c>
      <c r="P458" s="2">
        <f>_Salesdata[[#This Row],[Unit_Cost]] * _Salesdata[[#This Row],[Quantity_Sold]]</f>
        <v>34108.200000000004</v>
      </c>
      <c r="Q458" s="2">
        <f>_Salesdata[[#This Row],[Gross_Sales]] - _Salesdata[[#This Row],[Total Cost]]</f>
        <v>6332.0999999999985</v>
      </c>
      <c r="R458" s="2"/>
    </row>
    <row r="459" spans="1:18" x14ac:dyDescent="0.25">
      <c r="A459">
        <v>1086</v>
      </c>
      <c r="B459" s="1">
        <v>45235</v>
      </c>
      <c r="C459" t="s">
        <v>24</v>
      </c>
      <c r="D459" t="s">
        <v>40</v>
      </c>
      <c r="E459" s="2">
        <v>2928.5</v>
      </c>
      <c r="F459">
        <v>10</v>
      </c>
      <c r="G459" t="s">
        <v>39</v>
      </c>
      <c r="H459" s="2">
        <v>2273.91</v>
      </c>
      <c r="I459" s="2">
        <v>2578.7999999999902</v>
      </c>
      <c r="J459" t="s">
        <v>27</v>
      </c>
      <c r="K459">
        <v>0.14000000000000001</v>
      </c>
      <c r="L459" t="s">
        <v>21</v>
      </c>
      <c r="M459" t="s">
        <v>22</v>
      </c>
      <c r="N459" t="s">
        <v>55</v>
      </c>
      <c r="O459" s="2">
        <f>_Salesdata[[#This Row],[Unit_Price]] * _Salesdata[[#This Row],[Quantity_Sold]]</f>
        <v>25787.999999999902</v>
      </c>
      <c r="P459" s="2">
        <f>_Salesdata[[#This Row],[Unit_Cost]] * _Salesdata[[#This Row],[Quantity_Sold]]</f>
        <v>22739.1</v>
      </c>
      <c r="Q459" s="2">
        <f>_Salesdata[[#This Row],[Gross_Sales]] - _Salesdata[[#This Row],[Total Cost]]</f>
        <v>3048.8999999999032</v>
      </c>
      <c r="R459" s="2"/>
    </row>
    <row r="460" spans="1:18" x14ac:dyDescent="0.25">
      <c r="A460">
        <v>1064</v>
      </c>
      <c r="B460" s="1">
        <v>45103</v>
      </c>
      <c r="C460" t="s">
        <v>24</v>
      </c>
      <c r="D460" t="s">
        <v>37</v>
      </c>
      <c r="E460" s="2">
        <v>6201.37</v>
      </c>
      <c r="F460">
        <v>21</v>
      </c>
      <c r="G460" t="s">
        <v>19</v>
      </c>
      <c r="H460" s="2">
        <v>2278.04</v>
      </c>
      <c r="I460" s="2">
        <v>2598.58</v>
      </c>
      <c r="J460" t="s">
        <v>20</v>
      </c>
      <c r="K460">
        <v>0.02</v>
      </c>
      <c r="L460" t="s">
        <v>28</v>
      </c>
      <c r="M460" t="s">
        <v>32</v>
      </c>
      <c r="N460" t="s">
        <v>53</v>
      </c>
      <c r="O460" s="2">
        <f>_Salesdata[[#This Row],[Unit_Price]] * _Salesdata[[#This Row],[Quantity_Sold]]</f>
        <v>54570.18</v>
      </c>
      <c r="P460" s="2">
        <f>_Salesdata[[#This Row],[Unit_Cost]] * _Salesdata[[#This Row],[Quantity_Sold]]</f>
        <v>47838.84</v>
      </c>
      <c r="Q460" s="2">
        <f>_Salesdata[[#This Row],[Gross_Sales]] - _Salesdata[[#This Row],[Total Cost]]</f>
        <v>6731.3400000000038</v>
      </c>
      <c r="R460" s="2"/>
    </row>
    <row r="461" spans="1:18" x14ac:dyDescent="0.25">
      <c r="A461">
        <v>1009</v>
      </c>
      <c r="B461" s="1">
        <v>44943</v>
      </c>
      <c r="C461" t="s">
        <v>30</v>
      </c>
      <c r="D461" t="s">
        <v>25</v>
      </c>
      <c r="E461" s="2">
        <v>8401.07</v>
      </c>
      <c r="F461">
        <v>12</v>
      </c>
      <c r="G461" t="s">
        <v>39</v>
      </c>
      <c r="H461" s="2">
        <v>2278.67</v>
      </c>
      <c r="I461" s="2">
        <v>2476.8000000000002</v>
      </c>
      <c r="J461" t="s">
        <v>27</v>
      </c>
      <c r="K461">
        <v>0.09</v>
      </c>
      <c r="L461" t="s">
        <v>21</v>
      </c>
      <c r="M461" t="s">
        <v>32</v>
      </c>
      <c r="N461" t="s">
        <v>45</v>
      </c>
      <c r="O461" s="2">
        <f>_Salesdata[[#This Row],[Unit_Price]] * _Salesdata[[#This Row],[Quantity_Sold]]</f>
        <v>29721.600000000002</v>
      </c>
      <c r="P461" s="2">
        <f>_Salesdata[[#This Row],[Unit_Cost]] * _Salesdata[[#This Row],[Quantity_Sold]]</f>
        <v>27344.04</v>
      </c>
      <c r="Q461" s="2">
        <f>_Salesdata[[#This Row],[Gross_Sales]] - _Salesdata[[#This Row],[Total Cost]]</f>
        <v>2377.5600000000013</v>
      </c>
      <c r="R461" s="2"/>
    </row>
    <row r="462" spans="1:18" x14ac:dyDescent="0.25">
      <c r="A462">
        <v>1004</v>
      </c>
      <c r="B462" s="1">
        <v>45114</v>
      </c>
      <c r="C462" t="s">
        <v>48</v>
      </c>
      <c r="D462" t="s">
        <v>37</v>
      </c>
      <c r="E462" s="2">
        <v>6772.8</v>
      </c>
      <c r="F462">
        <v>35</v>
      </c>
      <c r="G462" t="s">
        <v>19</v>
      </c>
      <c r="H462" s="2">
        <v>2278.87</v>
      </c>
      <c r="I462" s="2">
        <v>2646.5299999999902</v>
      </c>
      <c r="J462" t="s">
        <v>20</v>
      </c>
      <c r="K462">
        <v>0.09</v>
      </c>
      <c r="L462" t="s">
        <v>44</v>
      </c>
      <c r="M462" t="s">
        <v>22</v>
      </c>
      <c r="N462" t="s">
        <v>52</v>
      </c>
      <c r="O462" s="2">
        <f>_Salesdata[[#This Row],[Unit_Price]] * _Salesdata[[#This Row],[Quantity_Sold]]</f>
        <v>92628.549999999654</v>
      </c>
      <c r="P462" s="2">
        <f>_Salesdata[[#This Row],[Unit_Cost]] * _Salesdata[[#This Row],[Quantity_Sold]]</f>
        <v>79760.45</v>
      </c>
      <c r="Q462" s="2">
        <f>_Salesdata[[#This Row],[Gross_Sales]] - _Salesdata[[#This Row],[Total Cost]]</f>
        <v>12868.099999999657</v>
      </c>
      <c r="R462" s="2"/>
    </row>
    <row r="463" spans="1:18" x14ac:dyDescent="0.25">
      <c r="A463">
        <v>1009</v>
      </c>
      <c r="B463" s="1">
        <v>45044</v>
      </c>
      <c r="C463" t="s">
        <v>24</v>
      </c>
      <c r="D463" t="s">
        <v>37</v>
      </c>
      <c r="E463" s="2">
        <v>1342.95</v>
      </c>
      <c r="F463">
        <v>33</v>
      </c>
      <c r="G463" t="s">
        <v>19</v>
      </c>
      <c r="H463" s="2">
        <v>2278.9</v>
      </c>
      <c r="I463" s="2">
        <v>2626.9</v>
      </c>
      <c r="J463" t="s">
        <v>27</v>
      </c>
      <c r="K463">
        <v>0.05</v>
      </c>
      <c r="L463" t="s">
        <v>28</v>
      </c>
      <c r="M463" t="s">
        <v>22</v>
      </c>
      <c r="N463" t="s">
        <v>53</v>
      </c>
      <c r="O463" s="2">
        <f>_Salesdata[[#This Row],[Unit_Price]] * _Salesdata[[#This Row],[Quantity_Sold]]</f>
        <v>86687.7</v>
      </c>
      <c r="P463" s="2">
        <f>_Salesdata[[#This Row],[Unit_Cost]] * _Salesdata[[#This Row],[Quantity_Sold]]</f>
        <v>75203.7</v>
      </c>
      <c r="Q463" s="2">
        <f>_Salesdata[[#This Row],[Gross_Sales]] - _Salesdata[[#This Row],[Total Cost]]</f>
        <v>11484</v>
      </c>
      <c r="R463" s="2"/>
    </row>
    <row r="464" spans="1:18" x14ac:dyDescent="0.25">
      <c r="A464">
        <v>1082</v>
      </c>
      <c r="B464" s="1">
        <v>45149</v>
      </c>
      <c r="C464" t="s">
        <v>35</v>
      </c>
      <c r="D464" t="s">
        <v>37</v>
      </c>
      <c r="E464" s="2">
        <v>3207.37</v>
      </c>
      <c r="F464">
        <v>43</v>
      </c>
      <c r="G464" t="s">
        <v>39</v>
      </c>
      <c r="H464" s="2">
        <v>2289.2199999999998</v>
      </c>
      <c r="I464" s="2">
        <v>2581</v>
      </c>
      <c r="J464" t="s">
        <v>27</v>
      </c>
      <c r="K464">
        <v>0.05</v>
      </c>
      <c r="L464" t="s">
        <v>44</v>
      </c>
      <c r="M464" t="s">
        <v>22</v>
      </c>
      <c r="N464" t="s">
        <v>38</v>
      </c>
      <c r="O464" s="2">
        <f>_Salesdata[[#This Row],[Unit_Price]] * _Salesdata[[#This Row],[Quantity_Sold]]</f>
        <v>110983</v>
      </c>
      <c r="P464" s="2">
        <f>_Salesdata[[#This Row],[Unit_Cost]] * _Salesdata[[#This Row],[Quantity_Sold]]</f>
        <v>98436.459999999992</v>
      </c>
      <c r="Q464" s="2">
        <f>_Salesdata[[#This Row],[Gross_Sales]] - _Salesdata[[#This Row],[Total Cost]]</f>
        <v>12546.540000000008</v>
      </c>
      <c r="R464" s="2"/>
    </row>
    <row r="465" spans="1:18" x14ac:dyDescent="0.25">
      <c r="A465">
        <v>1008</v>
      </c>
      <c r="B465" s="1">
        <v>45280</v>
      </c>
      <c r="C465" t="s">
        <v>35</v>
      </c>
      <c r="D465" t="s">
        <v>25</v>
      </c>
      <c r="E465" s="2">
        <v>765.83</v>
      </c>
      <c r="F465">
        <v>23</v>
      </c>
      <c r="G465" t="s">
        <v>19</v>
      </c>
      <c r="H465" s="2">
        <v>2296.9299999999998</v>
      </c>
      <c r="I465" s="2">
        <v>2319.62</v>
      </c>
      <c r="J465" t="s">
        <v>20</v>
      </c>
      <c r="K465">
        <v>0.23</v>
      </c>
      <c r="L465" t="s">
        <v>44</v>
      </c>
      <c r="M465" t="s">
        <v>32</v>
      </c>
      <c r="N465" t="s">
        <v>56</v>
      </c>
      <c r="O465" s="2">
        <f>_Salesdata[[#This Row],[Unit_Price]] * _Salesdata[[#This Row],[Quantity_Sold]]</f>
        <v>53351.259999999995</v>
      </c>
      <c r="P465" s="2">
        <f>_Salesdata[[#This Row],[Unit_Cost]] * _Salesdata[[#This Row],[Quantity_Sold]]</f>
        <v>52829.39</v>
      </c>
      <c r="Q465" s="2">
        <f>_Salesdata[[#This Row],[Gross_Sales]] - _Salesdata[[#This Row],[Total Cost]]</f>
        <v>521.86999999999534</v>
      </c>
      <c r="R465" s="2"/>
    </row>
    <row r="466" spans="1:18" x14ac:dyDescent="0.25">
      <c r="A466">
        <v>1063</v>
      </c>
      <c r="B466" s="1">
        <v>45279</v>
      </c>
      <c r="C466" t="s">
        <v>35</v>
      </c>
      <c r="D466" t="s">
        <v>25</v>
      </c>
      <c r="E466" s="2">
        <v>3889.71</v>
      </c>
      <c r="F466">
        <v>46</v>
      </c>
      <c r="G466" t="s">
        <v>39</v>
      </c>
      <c r="H466" s="2">
        <v>2302.62</v>
      </c>
      <c r="I466" s="2">
        <v>2740.93</v>
      </c>
      <c r="J466" t="s">
        <v>20</v>
      </c>
      <c r="K466">
        <v>0.25</v>
      </c>
      <c r="L466" t="s">
        <v>44</v>
      </c>
      <c r="M466" t="s">
        <v>22</v>
      </c>
      <c r="N466" t="s">
        <v>56</v>
      </c>
      <c r="O466" s="2">
        <f>_Salesdata[[#This Row],[Unit_Price]] * _Salesdata[[#This Row],[Quantity_Sold]]</f>
        <v>126082.78</v>
      </c>
      <c r="P466" s="2">
        <f>_Salesdata[[#This Row],[Unit_Cost]] * _Salesdata[[#This Row],[Quantity_Sold]]</f>
        <v>105920.51999999999</v>
      </c>
      <c r="Q466" s="2">
        <f>_Salesdata[[#This Row],[Gross_Sales]] - _Salesdata[[#This Row],[Total Cost]]</f>
        <v>20162.260000000009</v>
      </c>
      <c r="R466" s="2"/>
    </row>
    <row r="467" spans="1:18" x14ac:dyDescent="0.25">
      <c r="A467">
        <v>1090</v>
      </c>
      <c r="B467" s="1">
        <v>44999</v>
      </c>
      <c r="C467" t="s">
        <v>30</v>
      </c>
      <c r="D467" t="s">
        <v>18</v>
      </c>
      <c r="E467" s="2">
        <v>6761.43</v>
      </c>
      <c r="F467">
        <v>47</v>
      </c>
      <c r="G467" t="s">
        <v>39</v>
      </c>
      <c r="H467" s="2">
        <v>2310.8200000000002</v>
      </c>
      <c r="I467" s="2">
        <v>2714.71</v>
      </c>
      <c r="J467" t="s">
        <v>27</v>
      </c>
      <c r="K467">
        <v>0.19</v>
      </c>
      <c r="L467" t="s">
        <v>21</v>
      </c>
      <c r="M467" t="s">
        <v>32</v>
      </c>
      <c r="N467" t="s">
        <v>33</v>
      </c>
      <c r="O467" s="2">
        <f>_Salesdata[[#This Row],[Unit_Price]] * _Salesdata[[#This Row],[Quantity_Sold]]</f>
        <v>127591.37</v>
      </c>
      <c r="P467" s="2">
        <f>_Salesdata[[#This Row],[Unit_Cost]] * _Salesdata[[#This Row],[Quantity_Sold]]</f>
        <v>108608.54000000001</v>
      </c>
      <c r="Q467" s="2">
        <f>_Salesdata[[#This Row],[Gross_Sales]] - _Salesdata[[#This Row],[Total Cost]]</f>
        <v>18982.829999999987</v>
      </c>
      <c r="R467" s="2"/>
    </row>
    <row r="468" spans="1:18" x14ac:dyDescent="0.25">
      <c r="A468">
        <v>1023</v>
      </c>
      <c r="B468" s="1">
        <v>45044</v>
      </c>
      <c r="C468" t="s">
        <v>35</v>
      </c>
      <c r="D468" t="s">
        <v>37</v>
      </c>
      <c r="E468" s="2">
        <v>9850.1</v>
      </c>
      <c r="F468">
        <v>5</v>
      </c>
      <c r="G468" t="s">
        <v>26</v>
      </c>
      <c r="H468" s="2">
        <v>2311.25</v>
      </c>
      <c r="I468" s="2">
        <v>2482.34</v>
      </c>
      <c r="J468" t="s">
        <v>20</v>
      </c>
      <c r="K468">
        <v>0.22</v>
      </c>
      <c r="L468" t="s">
        <v>28</v>
      </c>
      <c r="M468" t="s">
        <v>32</v>
      </c>
      <c r="N468" t="s">
        <v>38</v>
      </c>
      <c r="O468" s="2">
        <f>_Salesdata[[#This Row],[Unit_Price]] * _Salesdata[[#This Row],[Quantity_Sold]]</f>
        <v>12411.7</v>
      </c>
      <c r="P468" s="2">
        <f>_Salesdata[[#This Row],[Unit_Cost]] * _Salesdata[[#This Row],[Quantity_Sold]]</f>
        <v>11556.25</v>
      </c>
      <c r="Q468" s="2">
        <f>_Salesdata[[#This Row],[Gross_Sales]] - _Salesdata[[#This Row],[Total Cost]]</f>
        <v>855.45000000000073</v>
      </c>
      <c r="R468" s="2"/>
    </row>
    <row r="469" spans="1:18" x14ac:dyDescent="0.25">
      <c r="A469">
        <v>1022</v>
      </c>
      <c r="B469" s="1">
        <v>44938</v>
      </c>
      <c r="C469" t="s">
        <v>48</v>
      </c>
      <c r="D469" t="s">
        <v>18</v>
      </c>
      <c r="E469" s="2">
        <v>2761.65</v>
      </c>
      <c r="F469">
        <v>13</v>
      </c>
      <c r="G469" t="s">
        <v>31</v>
      </c>
      <c r="H469" s="2">
        <v>2312.4499999999998</v>
      </c>
      <c r="I469" s="2">
        <v>2504.6</v>
      </c>
      <c r="J469" t="s">
        <v>20</v>
      </c>
      <c r="K469">
        <v>0.06</v>
      </c>
      <c r="L469" t="s">
        <v>44</v>
      </c>
      <c r="M469" t="s">
        <v>22</v>
      </c>
      <c r="N469" t="s">
        <v>54</v>
      </c>
      <c r="O469" s="2">
        <f>_Salesdata[[#This Row],[Unit_Price]] * _Salesdata[[#This Row],[Quantity_Sold]]</f>
        <v>32559.8</v>
      </c>
      <c r="P469" s="2">
        <f>_Salesdata[[#This Row],[Unit_Cost]] * _Salesdata[[#This Row],[Quantity_Sold]]</f>
        <v>30061.85</v>
      </c>
      <c r="Q469" s="2">
        <f>_Salesdata[[#This Row],[Gross_Sales]] - _Salesdata[[#This Row],[Total Cost]]</f>
        <v>2497.9500000000007</v>
      </c>
      <c r="R469" s="2"/>
    </row>
    <row r="470" spans="1:18" x14ac:dyDescent="0.25">
      <c r="A470">
        <v>1092</v>
      </c>
      <c r="B470" s="1">
        <v>45010</v>
      </c>
      <c r="C470" t="s">
        <v>24</v>
      </c>
      <c r="D470" t="s">
        <v>25</v>
      </c>
      <c r="E470" s="2">
        <v>1897.98</v>
      </c>
      <c r="F470">
        <v>49</v>
      </c>
      <c r="G470" t="s">
        <v>39</v>
      </c>
      <c r="H470" s="2">
        <v>2315</v>
      </c>
      <c r="I470" s="2">
        <v>2467.2800000000002</v>
      </c>
      <c r="J470" t="s">
        <v>27</v>
      </c>
      <c r="K470">
        <v>0.15</v>
      </c>
      <c r="L470" t="s">
        <v>44</v>
      </c>
      <c r="M470" t="s">
        <v>32</v>
      </c>
      <c r="N470" t="s">
        <v>29</v>
      </c>
      <c r="O470" s="2">
        <f>_Salesdata[[#This Row],[Unit_Price]] * _Salesdata[[#This Row],[Quantity_Sold]]</f>
        <v>120896.72000000002</v>
      </c>
      <c r="P470" s="2">
        <f>_Salesdata[[#This Row],[Unit_Cost]] * _Salesdata[[#This Row],[Quantity_Sold]]</f>
        <v>113435</v>
      </c>
      <c r="Q470" s="2">
        <f>_Salesdata[[#This Row],[Gross_Sales]] - _Salesdata[[#This Row],[Total Cost]]</f>
        <v>7461.7200000000157</v>
      </c>
      <c r="R470" s="2"/>
    </row>
    <row r="471" spans="1:18" x14ac:dyDescent="0.25">
      <c r="A471">
        <v>1018</v>
      </c>
      <c r="B471" s="1">
        <v>45169</v>
      </c>
      <c r="C471" t="s">
        <v>24</v>
      </c>
      <c r="D471" t="s">
        <v>18</v>
      </c>
      <c r="E471" s="2">
        <v>2260.25</v>
      </c>
      <c r="F471">
        <v>1</v>
      </c>
      <c r="G471" t="s">
        <v>26</v>
      </c>
      <c r="H471" s="2">
        <v>2315.83</v>
      </c>
      <c r="I471" s="2">
        <v>2333.19</v>
      </c>
      <c r="J471" t="s">
        <v>27</v>
      </c>
      <c r="K471">
        <v>0.01</v>
      </c>
      <c r="L471" t="s">
        <v>21</v>
      </c>
      <c r="M471" t="s">
        <v>32</v>
      </c>
      <c r="N471" t="s">
        <v>46</v>
      </c>
      <c r="O471" s="2">
        <f>_Salesdata[[#This Row],[Unit_Price]] * _Salesdata[[#This Row],[Quantity_Sold]]</f>
        <v>2333.19</v>
      </c>
      <c r="P471" s="2">
        <f>_Salesdata[[#This Row],[Unit_Cost]] * _Salesdata[[#This Row],[Quantity_Sold]]</f>
        <v>2315.83</v>
      </c>
      <c r="Q471" s="2">
        <f>_Salesdata[[#This Row],[Gross_Sales]] - _Salesdata[[#This Row],[Total Cost]]</f>
        <v>17.360000000000127</v>
      </c>
      <c r="R471" s="2"/>
    </row>
    <row r="472" spans="1:18" x14ac:dyDescent="0.25">
      <c r="A472">
        <v>1080</v>
      </c>
      <c r="B472" s="1">
        <v>45159</v>
      </c>
      <c r="C472" t="s">
        <v>30</v>
      </c>
      <c r="D472" t="s">
        <v>40</v>
      </c>
      <c r="E472" s="2">
        <v>5677.74</v>
      </c>
      <c r="F472">
        <v>12</v>
      </c>
      <c r="G472" t="s">
        <v>26</v>
      </c>
      <c r="H472" s="2">
        <v>2316.13</v>
      </c>
      <c r="I472" s="2">
        <v>2525.27</v>
      </c>
      <c r="J472" t="s">
        <v>20</v>
      </c>
      <c r="K472">
        <v>0.12</v>
      </c>
      <c r="L472" t="s">
        <v>28</v>
      </c>
      <c r="M472" t="s">
        <v>32</v>
      </c>
      <c r="N472" t="s">
        <v>41</v>
      </c>
      <c r="O472" s="2">
        <f>_Salesdata[[#This Row],[Unit_Price]] * _Salesdata[[#This Row],[Quantity_Sold]]</f>
        <v>30303.239999999998</v>
      </c>
      <c r="P472" s="2">
        <f>_Salesdata[[#This Row],[Unit_Cost]] * _Salesdata[[#This Row],[Quantity_Sold]]</f>
        <v>27793.56</v>
      </c>
      <c r="Q472" s="2">
        <f>_Salesdata[[#This Row],[Gross_Sales]] - _Salesdata[[#This Row],[Total Cost]]</f>
        <v>2509.6799999999967</v>
      </c>
      <c r="R472" s="2"/>
    </row>
    <row r="473" spans="1:18" x14ac:dyDescent="0.25">
      <c r="A473">
        <v>1054</v>
      </c>
      <c r="B473" s="1">
        <v>45040</v>
      </c>
      <c r="C473" t="s">
        <v>30</v>
      </c>
      <c r="D473" t="s">
        <v>37</v>
      </c>
      <c r="E473" s="2">
        <v>7524.78</v>
      </c>
      <c r="F473">
        <v>48</v>
      </c>
      <c r="G473" t="s">
        <v>31</v>
      </c>
      <c r="H473" s="2">
        <v>2316.92</v>
      </c>
      <c r="I473" s="2">
        <v>2462.63</v>
      </c>
      <c r="J473" t="s">
        <v>27</v>
      </c>
      <c r="K473">
        <v>0.04</v>
      </c>
      <c r="L473" t="s">
        <v>28</v>
      </c>
      <c r="M473" t="s">
        <v>22</v>
      </c>
      <c r="N473" t="s">
        <v>51</v>
      </c>
      <c r="O473" s="2">
        <f>_Salesdata[[#This Row],[Unit_Price]] * _Salesdata[[#This Row],[Quantity_Sold]]</f>
        <v>118206.24</v>
      </c>
      <c r="P473" s="2">
        <f>_Salesdata[[#This Row],[Unit_Cost]] * _Salesdata[[#This Row],[Quantity_Sold]]</f>
        <v>111212.16</v>
      </c>
      <c r="Q473" s="2">
        <f>_Salesdata[[#This Row],[Gross_Sales]] - _Salesdata[[#This Row],[Total Cost]]</f>
        <v>6994.0800000000017</v>
      </c>
      <c r="R473" s="2"/>
    </row>
    <row r="474" spans="1:18" x14ac:dyDescent="0.25">
      <c r="A474">
        <v>1056</v>
      </c>
      <c r="B474" s="1">
        <v>45130</v>
      </c>
      <c r="C474" t="s">
        <v>17</v>
      </c>
      <c r="D474" t="s">
        <v>25</v>
      </c>
      <c r="E474" s="2">
        <v>7591.63</v>
      </c>
      <c r="F474">
        <v>35</v>
      </c>
      <c r="G474" t="s">
        <v>39</v>
      </c>
      <c r="H474" s="2">
        <v>2344.9299999999998</v>
      </c>
      <c r="I474" s="2">
        <v>2707.25</v>
      </c>
      <c r="J474" t="s">
        <v>27</v>
      </c>
      <c r="K474">
        <v>0.12</v>
      </c>
      <c r="L474" t="s">
        <v>28</v>
      </c>
      <c r="M474" t="s">
        <v>32</v>
      </c>
      <c r="N474" t="s">
        <v>34</v>
      </c>
      <c r="O474" s="2">
        <f>_Salesdata[[#This Row],[Unit_Price]] * _Salesdata[[#This Row],[Quantity_Sold]]</f>
        <v>94753.75</v>
      </c>
      <c r="P474" s="2">
        <f>_Salesdata[[#This Row],[Unit_Cost]] * _Salesdata[[#This Row],[Quantity_Sold]]</f>
        <v>82072.549999999988</v>
      </c>
      <c r="Q474" s="2">
        <f>_Salesdata[[#This Row],[Gross_Sales]] - _Salesdata[[#This Row],[Total Cost]]</f>
        <v>12681.200000000012</v>
      </c>
      <c r="R474" s="2"/>
    </row>
    <row r="475" spans="1:18" x14ac:dyDescent="0.25">
      <c r="A475">
        <v>1050</v>
      </c>
      <c r="B475" s="1">
        <v>45159</v>
      </c>
      <c r="C475" t="s">
        <v>30</v>
      </c>
      <c r="D475" t="s">
        <v>37</v>
      </c>
      <c r="E475" s="2">
        <v>9976.52</v>
      </c>
      <c r="F475">
        <v>17</v>
      </c>
      <c r="G475" t="s">
        <v>39</v>
      </c>
      <c r="H475" s="2">
        <v>2346.8000000000002</v>
      </c>
      <c r="I475" s="2">
        <v>2654.65</v>
      </c>
      <c r="J475" t="s">
        <v>27</v>
      </c>
      <c r="K475">
        <v>0.13</v>
      </c>
      <c r="L475" t="s">
        <v>21</v>
      </c>
      <c r="M475" t="s">
        <v>32</v>
      </c>
      <c r="N475" t="s">
        <v>51</v>
      </c>
      <c r="O475" s="2">
        <f>_Salesdata[[#This Row],[Unit_Price]] * _Salesdata[[#This Row],[Quantity_Sold]]</f>
        <v>45129.05</v>
      </c>
      <c r="P475" s="2">
        <f>_Salesdata[[#This Row],[Unit_Cost]] * _Salesdata[[#This Row],[Quantity_Sold]]</f>
        <v>39895.600000000006</v>
      </c>
      <c r="Q475" s="2">
        <f>_Salesdata[[#This Row],[Gross_Sales]] - _Salesdata[[#This Row],[Total Cost]]</f>
        <v>5233.4499999999971</v>
      </c>
      <c r="R475" s="2"/>
    </row>
    <row r="476" spans="1:18" x14ac:dyDescent="0.25">
      <c r="A476">
        <v>1090</v>
      </c>
      <c r="B476" s="1">
        <v>45157</v>
      </c>
      <c r="C476" t="s">
        <v>17</v>
      </c>
      <c r="D476" t="s">
        <v>25</v>
      </c>
      <c r="E476" s="2">
        <v>9088.2000000000007</v>
      </c>
      <c r="F476">
        <v>31</v>
      </c>
      <c r="G476" t="s">
        <v>19</v>
      </c>
      <c r="H476" s="2">
        <v>2347.81</v>
      </c>
      <c r="I476" s="2">
        <v>2668.02</v>
      </c>
      <c r="J476" t="s">
        <v>20</v>
      </c>
      <c r="K476">
        <v>0.09</v>
      </c>
      <c r="L476" t="s">
        <v>44</v>
      </c>
      <c r="M476" t="s">
        <v>32</v>
      </c>
      <c r="N476" t="s">
        <v>34</v>
      </c>
      <c r="O476" s="2">
        <f>_Salesdata[[#This Row],[Unit_Price]] * _Salesdata[[#This Row],[Quantity_Sold]]</f>
        <v>82708.62</v>
      </c>
      <c r="P476" s="2">
        <f>_Salesdata[[#This Row],[Unit_Cost]] * _Salesdata[[#This Row],[Quantity_Sold]]</f>
        <v>72782.11</v>
      </c>
      <c r="Q476" s="2">
        <f>_Salesdata[[#This Row],[Gross_Sales]] - _Salesdata[[#This Row],[Total Cost]]</f>
        <v>9926.5099999999948</v>
      </c>
      <c r="R476" s="2"/>
    </row>
    <row r="477" spans="1:18" x14ac:dyDescent="0.25">
      <c r="A477">
        <v>1090</v>
      </c>
      <c r="B477" s="1">
        <v>45183</v>
      </c>
      <c r="C477" t="s">
        <v>35</v>
      </c>
      <c r="D477" t="s">
        <v>25</v>
      </c>
      <c r="E477" s="2">
        <v>7122.28</v>
      </c>
      <c r="F477">
        <v>47</v>
      </c>
      <c r="G477" t="s">
        <v>19</v>
      </c>
      <c r="H477" s="2">
        <v>2357.9499999999998</v>
      </c>
      <c r="I477" s="2">
        <v>2693.33</v>
      </c>
      <c r="J477" t="s">
        <v>27</v>
      </c>
      <c r="K477">
        <v>0.18</v>
      </c>
      <c r="L477" t="s">
        <v>44</v>
      </c>
      <c r="M477" t="s">
        <v>22</v>
      </c>
      <c r="N477" t="s">
        <v>56</v>
      </c>
      <c r="O477" s="2">
        <f>_Salesdata[[#This Row],[Unit_Price]] * _Salesdata[[#This Row],[Quantity_Sold]]</f>
        <v>126586.51</v>
      </c>
      <c r="P477" s="2">
        <f>_Salesdata[[#This Row],[Unit_Cost]] * _Salesdata[[#This Row],[Quantity_Sold]]</f>
        <v>110823.65</v>
      </c>
      <c r="Q477" s="2">
        <f>_Salesdata[[#This Row],[Gross_Sales]] - _Salesdata[[#This Row],[Total Cost]]</f>
        <v>15762.86</v>
      </c>
      <c r="R477" s="2"/>
    </row>
    <row r="478" spans="1:18" x14ac:dyDescent="0.25">
      <c r="A478">
        <v>1062</v>
      </c>
      <c r="B478" s="1">
        <v>45236</v>
      </c>
      <c r="C478" t="s">
        <v>30</v>
      </c>
      <c r="D478" t="s">
        <v>18</v>
      </c>
      <c r="E478" s="2">
        <v>2605.71</v>
      </c>
      <c r="F478">
        <v>25</v>
      </c>
      <c r="G478" t="s">
        <v>31</v>
      </c>
      <c r="H478" s="2">
        <v>2361.0500000000002</v>
      </c>
      <c r="I478" s="2">
        <v>2616.19</v>
      </c>
      <c r="J478" t="s">
        <v>27</v>
      </c>
      <c r="K478">
        <v>0.3</v>
      </c>
      <c r="L478" t="s">
        <v>44</v>
      </c>
      <c r="M478" t="s">
        <v>32</v>
      </c>
      <c r="N478" t="s">
        <v>33</v>
      </c>
      <c r="O478" s="2">
        <f>_Salesdata[[#This Row],[Unit_Price]] * _Salesdata[[#This Row],[Quantity_Sold]]</f>
        <v>65404.75</v>
      </c>
      <c r="P478" s="2">
        <f>_Salesdata[[#This Row],[Unit_Cost]] * _Salesdata[[#This Row],[Quantity_Sold]]</f>
        <v>59026.250000000007</v>
      </c>
      <c r="Q478" s="2">
        <f>_Salesdata[[#This Row],[Gross_Sales]] - _Salesdata[[#This Row],[Total Cost]]</f>
        <v>6378.4999999999927</v>
      </c>
      <c r="R478" s="2"/>
    </row>
    <row r="479" spans="1:18" x14ac:dyDescent="0.25">
      <c r="A479">
        <v>1056</v>
      </c>
      <c r="B479" s="1">
        <v>44940</v>
      </c>
      <c r="C479" t="s">
        <v>35</v>
      </c>
      <c r="D479" t="s">
        <v>25</v>
      </c>
      <c r="E479" s="2">
        <v>5720.5</v>
      </c>
      <c r="F479">
        <v>25</v>
      </c>
      <c r="G479" t="s">
        <v>31</v>
      </c>
      <c r="H479" s="2">
        <v>2361.7399999999998</v>
      </c>
      <c r="I479" s="2">
        <v>2584.35</v>
      </c>
      <c r="J479" t="s">
        <v>20</v>
      </c>
      <c r="K479">
        <v>0.2</v>
      </c>
      <c r="L479" t="s">
        <v>21</v>
      </c>
      <c r="M479" t="s">
        <v>22</v>
      </c>
      <c r="N479" t="s">
        <v>56</v>
      </c>
      <c r="O479" s="2">
        <f>_Salesdata[[#This Row],[Unit_Price]] * _Salesdata[[#This Row],[Quantity_Sold]]</f>
        <v>64608.75</v>
      </c>
      <c r="P479" s="2">
        <f>_Salesdata[[#This Row],[Unit_Cost]] * _Salesdata[[#This Row],[Quantity_Sold]]</f>
        <v>59043.499999999993</v>
      </c>
      <c r="Q479" s="2">
        <f>_Salesdata[[#This Row],[Gross_Sales]] - _Salesdata[[#This Row],[Total Cost]]</f>
        <v>5565.2500000000073</v>
      </c>
      <c r="R479" s="2"/>
    </row>
    <row r="480" spans="1:18" x14ac:dyDescent="0.25">
      <c r="A480">
        <v>1027</v>
      </c>
      <c r="B480" s="1">
        <v>45032</v>
      </c>
      <c r="C480" t="s">
        <v>24</v>
      </c>
      <c r="D480" t="s">
        <v>18</v>
      </c>
      <c r="E480" s="2">
        <v>8241.57</v>
      </c>
      <c r="F480">
        <v>7</v>
      </c>
      <c r="G480" t="s">
        <v>31</v>
      </c>
      <c r="H480" s="2">
        <v>2371.85</v>
      </c>
      <c r="I480" s="2">
        <v>2457.29</v>
      </c>
      <c r="J480" t="s">
        <v>27</v>
      </c>
      <c r="K480">
        <v>0.03</v>
      </c>
      <c r="L480" t="s">
        <v>21</v>
      </c>
      <c r="M480" t="s">
        <v>32</v>
      </c>
      <c r="N480" t="s">
        <v>46</v>
      </c>
      <c r="O480" s="2">
        <f>_Salesdata[[#This Row],[Unit_Price]] * _Salesdata[[#This Row],[Quantity_Sold]]</f>
        <v>17201.03</v>
      </c>
      <c r="P480" s="2">
        <f>_Salesdata[[#This Row],[Unit_Cost]] * _Salesdata[[#This Row],[Quantity_Sold]]</f>
        <v>16602.95</v>
      </c>
      <c r="Q480" s="2">
        <f>_Salesdata[[#This Row],[Gross_Sales]] - _Salesdata[[#This Row],[Total Cost]]</f>
        <v>598.07999999999811</v>
      </c>
      <c r="R480" s="2"/>
    </row>
    <row r="481" spans="1:18" x14ac:dyDescent="0.25">
      <c r="A481">
        <v>1090</v>
      </c>
      <c r="B481" s="1">
        <v>44939</v>
      </c>
      <c r="C481" t="s">
        <v>24</v>
      </c>
      <c r="D481" t="s">
        <v>18</v>
      </c>
      <c r="E481" s="2">
        <v>2359.5300000000002</v>
      </c>
      <c r="F481">
        <v>17</v>
      </c>
      <c r="G481" t="s">
        <v>19</v>
      </c>
      <c r="H481" s="2">
        <v>2382.98</v>
      </c>
      <c r="I481" s="2">
        <v>2839.73</v>
      </c>
      <c r="J481" t="s">
        <v>20</v>
      </c>
      <c r="K481">
        <v>0.23</v>
      </c>
      <c r="L481" t="s">
        <v>44</v>
      </c>
      <c r="M481" t="s">
        <v>32</v>
      </c>
      <c r="N481" t="s">
        <v>46</v>
      </c>
      <c r="O481" s="2">
        <f>_Salesdata[[#This Row],[Unit_Price]] * _Salesdata[[#This Row],[Quantity_Sold]]</f>
        <v>48275.41</v>
      </c>
      <c r="P481" s="2">
        <f>_Salesdata[[#This Row],[Unit_Cost]] * _Salesdata[[#This Row],[Quantity_Sold]]</f>
        <v>40510.660000000003</v>
      </c>
      <c r="Q481" s="2">
        <f>_Salesdata[[#This Row],[Gross_Sales]] - _Salesdata[[#This Row],[Total Cost]]</f>
        <v>7764.75</v>
      </c>
      <c r="R481" s="2"/>
    </row>
    <row r="482" spans="1:18" x14ac:dyDescent="0.25">
      <c r="A482">
        <v>1019</v>
      </c>
      <c r="B482" s="1">
        <v>45176</v>
      </c>
      <c r="C482" t="s">
        <v>17</v>
      </c>
      <c r="D482" t="s">
        <v>25</v>
      </c>
      <c r="E482" s="2">
        <v>6882.83</v>
      </c>
      <c r="F482">
        <v>27</v>
      </c>
      <c r="G482" t="s">
        <v>26</v>
      </c>
      <c r="H482" s="2">
        <v>2387.52</v>
      </c>
      <c r="I482" s="2">
        <v>2604.06</v>
      </c>
      <c r="J482" t="s">
        <v>20</v>
      </c>
      <c r="K482">
        <v>0.16</v>
      </c>
      <c r="L482" t="s">
        <v>21</v>
      </c>
      <c r="M482" t="s">
        <v>22</v>
      </c>
      <c r="N482" t="s">
        <v>34</v>
      </c>
      <c r="O482" s="2">
        <f>_Salesdata[[#This Row],[Unit_Price]] * _Salesdata[[#This Row],[Quantity_Sold]]</f>
        <v>70309.62</v>
      </c>
      <c r="P482" s="2">
        <f>_Salesdata[[#This Row],[Unit_Cost]] * _Salesdata[[#This Row],[Quantity_Sold]]</f>
        <v>64463.040000000001</v>
      </c>
      <c r="Q482" s="2">
        <f>_Salesdata[[#This Row],[Gross_Sales]] - _Salesdata[[#This Row],[Total Cost]]</f>
        <v>5846.5799999999945</v>
      </c>
      <c r="R482" s="2"/>
    </row>
    <row r="483" spans="1:18" x14ac:dyDescent="0.25">
      <c r="A483">
        <v>1090</v>
      </c>
      <c r="B483" s="1">
        <v>45126</v>
      </c>
      <c r="C483" t="s">
        <v>35</v>
      </c>
      <c r="D483" t="s">
        <v>25</v>
      </c>
      <c r="E483" s="2">
        <v>656.14</v>
      </c>
      <c r="F483">
        <v>10</v>
      </c>
      <c r="G483" t="s">
        <v>39</v>
      </c>
      <c r="H483" s="2">
        <v>2387.63</v>
      </c>
      <c r="I483" s="2">
        <v>2438.9699999999998</v>
      </c>
      <c r="J483" t="s">
        <v>20</v>
      </c>
      <c r="K483">
        <v>0.02</v>
      </c>
      <c r="L483" t="s">
        <v>44</v>
      </c>
      <c r="M483" t="s">
        <v>32</v>
      </c>
      <c r="N483" t="s">
        <v>56</v>
      </c>
      <c r="O483" s="2">
        <f>_Salesdata[[#This Row],[Unit_Price]] * _Salesdata[[#This Row],[Quantity_Sold]]</f>
        <v>24389.699999999997</v>
      </c>
      <c r="P483" s="2">
        <f>_Salesdata[[#This Row],[Unit_Cost]] * _Salesdata[[#This Row],[Quantity_Sold]]</f>
        <v>23876.300000000003</v>
      </c>
      <c r="Q483" s="2">
        <f>_Salesdata[[#This Row],[Gross_Sales]] - _Salesdata[[#This Row],[Total Cost]]</f>
        <v>513.39999999999418</v>
      </c>
      <c r="R483" s="2"/>
    </row>
    <row r="484" spans="1:18" x14ac:dyDescent="0.25">
      <c r="A484">
        <v>1044</v>
      </c>
      <c r="B484" s="1">
        <v>45094</v>
      </c>
      <c r="C484" t="s">
        <v>35</v>
      </c>
      <c r="D484" t="s">
        <v>37</v>
      </c>
      <c r="E484" s="2">
        <v>2541.38</v>
      </c>
      <c r="F484">
        <v>6</v>
      </c>
      <c r="G484" t="s">
        <v>39</v>
      </c>
      <c r="H484" s="2">
        <v>2388.9499999999998</v>
      </c>
      <c r="I484" s="2">
        <v>2742.97</v>
      </c>
      <c r="J484" t="s">
        <v>20</v>
      </c>
      <c r="K484">
        <v>0.25</v>
      </c>
      <c r="L484" t="s">
        <v>28</v>
      </c>
      <c r="M484" t="s">
        <v>32</v>
      </c>
      <c r="N484" t="s">
        <v>38</v>
      </c>
      <c r="O484" s="2">
        <f>_Salesdata[[#This Row],[Unit_Price]] * _Salesdata[[#This Row],[Quantity_Sold]]</f>
        <v>16457.82</v>
      </c>
      <c r="P484" s="2">
        <f>_Salesdata[[#This Row],[Unit_Cost]] * _Salesdata[[#This Row],[Quantity_Sold]]</f>
        <v>14333.699999999999</v>
      </c>
      <c r="Q484" s="2">
        <f>_Salesdata[[#This Row],[Gross_Sales]] - _Salesdata[[#This Row],[Total Cost]]</f>
        <v>2124.1200000000008</v>
      </c>
      <c r="R484" s="2"/>
    </row>
    <row r="485" spans="1:18" x14ac:dyDescent="0.25">
      <c r="A485">
        <v>1078</v>
      </c>
      <c r="B485" s="1">
        <v>45008</v>
      </c>
      <c r="C485" t="s">
        <v>48</v>
      </c>
      <c r="D485" t="s">
        <v>25</v>
      </c>
      <c r="E485" s="2">
        <v>3808.03</v>
      </c>
      <c r="F485">
        <v>33</v>
      </c>
      <c r="G485" t="s">
        <v>19</v>
      </c>
      <c r="H485" s="2">
        <v>2396.6799999999998</v>
      </c>
      <c r="I485" s="2">
        <v>2661.54</v>
      </c>
      <c r="J485" t="s">
        <v>27</v>
      </c>
      <c r="K485">
        <v>0.18</v>
      </c>
      <c r="L485" t="s">
        <v>44</v>
      </c>
      <c r="M485" t="s">
        <v>22</v>
      </c>
      <c r="N485" t="s">
        <v>49</v>
      </c>
      <c r="O485" s="2">
        <f>_Salesdata[[#This Row],[Unit_Price]] * _Salesdata[[#This Row],[Quantity_Sold]]</f>
        <v>87830.819999999992</v>
      </c>
      <c r="P485" s="2">
        <f>_Salesdata[[#This Row],[Unit_Cost]] * _Salesdata[[#This Row],[Quantity_Sold]]</f>
        <v>79090.439999999988</v>
      </c>
      <c r="Q485" s="2">
        <f>_Salesdata[[#This Row],[Gross_Sales]] - _Salesdata[[#This Row],[Total Cost]]</f>
        <v>8740.3800000000047</v>
      </c>
      <c r="R485" s="2"/>
    </row>
    <row r="486" spans="1:18" x14ac:dyDescent="0.25">
      <c r="A486">
        <v>1057</v>
      </c>
      <c r="B486" s="1">
        <v>45287</v>
      </c>
      <c r="C486" t="s">
        <v>17</v>
      </c>
      <c r="D486" t="s">
        <v>40</v>
      </c>
      <c r="E486" s="2">
        <v>3772.32</v>
      </c>
      <c r="F486">
        <v>31</v>
      </c>
      <c r="G486" t="s">
        <v>39</v>
      </c>
      <c r="H486" s="2">
        <v>2403.16</v>
      </c>
      <c r="I486" s="2">
        <v>2453.35</v>
      </c>
      <c r="J486" t="s">
        <v>20</v>
      </c>
      <c r="K486">
        <v>0.19</v>
      </c>
      <c r="L486" t="s">
        <v>28</v>
      </c>
      <c r="M486" t="s">
        <v>22</v>
      </c>
      <c r="N486" t="s">
        <v>42</v>
      </c>
      <c r="O486" s="2">
        <f>_Salesdata[[#This Row],[Unit_Price]] * _Salesdata[[#This Row],[Quantity_Sold]]</f>
        <v>76053.849999999991</v>
      </c>
      <c r="P486" s="2">
        <f>_Salesdata[[#This Row],[Unit_Cost]] * _Salesdata[[#This Row],[Quantity_Sold]]</f>
        <v>74497.959999999992</v>
      </c>
      <c r="Q486" s="2">
        <f>_Salesdata[[#This Row],[Gross_Sales]] - _Salesdata[[#This Row],[Total Cost]]</f>
        <v>1555.8899999999994</v>
      </c>
      <c r="R486" s="2"/>
    </row>
    <row r="487" spans="1:18" x14ac:dyDescent="0.25">
      <c r="A487">
        <v>1042</v>
      </c>
      <c r="B487" s="1">
        <v>44955</v>
      </c>
      <c r="C487" t="s">
        <v>48</v>
      </c>
      <c r="D487" t="s">
        <v>37</v>
      </c>
      <c r="E487" s="2">
        <v>9772.3700000000008</v>
      </c>
      <c r="F487">
        <v>25</v>
      </c>
      <c r="G487" t="s">
        <v>31</v>
      </c>
      <c r="H487" s="2">
        <v>2403.54</v>
      </c>
      <c r="I487" s="2">
        <v>2850.56</v>
      </c>
      <c r="J487" t="s">
        <v>27</v>
      </c>
      <c r="K487">
        <v>0.13</v>
      </c>
      <c r="L487" t="s">
        <v>44</v>
      </c>
      <c r="M487" t="s">
        <v>22</v>
      </c>
      <c r="N487" t="s">
        <v>52</v>
      </c>
      <c r="O487" s="2">
        <f>_Salesdata[[#This Row],[Unit_Price]] * _Salesdata[[#This Row],[Quantity_Sold]]</f>
        <v>71264</v>
      </c>
      <c r="P487" s="2">
        <f>_Salesdata[[#This Row],[Unit_Cost]] * _Salesdata[[#This Row],[Quantity_Sold]]</f>
        <v>60088.5</v>
      </c>
      <c r="Q487" s="2">
        <f>_Salesdata[[#This Row],[Gross_Sales]] - _Salesdata[[#This Row],[Total Cost]]</f>
        <v>11175.5</v>
      </c>
      <c r="R487" s="2"/>
    </row>
    <row r="488" spans="1:18" x14ac:dyDescent="0.25">
      <c r="A488">
        <v>1098</v>
      </c>
      <c r="B488" s="1">
        <v>45237</v>
      </c>
      <c r="C488" t="s">
        <v>24</v>
      </c>
      <c r="D488" t="s">
        <v>25</v>
      </c>
      <c r="E488" s="2">
        <v>3166.9</v>
      </c>
      <c r="F488">
        <v>31</v>
      </c>
      <c r="G488" t="s">
        <v>31</v>
      </c>
      <c r="H488" s="2">
        <v>2407.8000000000002</v>
      </c>
      <c r="I488" s="2">
        <v>2502.7600000000002</v>
      </c>
      <c r="J488" t="s">
        <v>20</v>
      </c>
      <c r="K488">
        <v>0.27</v>
      </c>
      <c r="L488" t="s">
        <v>21</v>
      </c>
      <c r="M488" t="s">
        <v>32</v>
      </c>
      <c r="N488" t="s">
        <v>29</v>
      </c>
      <c r="O488" s="2">
        <f>_Salesdata[[#This Row],[Unit_Price]] * _Salesdata[[#This Row],[Quantity_Sold]]</f>
        <v>77585.560000000012</v>
      </c>
      <c r="P488" s="2">
        <f>_Salesdata[[#This Row],[Unit_Cost]] * _Salesdata[[#This Row],[Quantity_Sold]]</f>
        <v>74641.8</v>
      </c>
      <c r="Q488" s="2">
        <f>_Salesdata[[#This Row],[Gross_Sales]] - _Salesdata[[#This Row],[Total Cost]]</f>
        <v>2943.7600000000093</v>
      </c>
      <c r="R488" s="2"/>
    </row>
    <row r="489" spans="1:18" x14ac:dyDescent="0.25">
      <c r="A489">
        <v>1083</v>
      </c>
      <c r="B489" s="1">
        <v>45027</v>
      </c>
      <c r="C489" t="s">
        <v>17</v>
      </c>
      <c r="D489" t="s">
        <v>25</v>
      </c>
      <c r="E489" s="2">
        <v>618.30999999999995</v>
      </c>
      <c r="F489">
        <v>29</v>
      </c>
      <c r="G489" t="s">
        <v>39</v>
      </c>
      <c r="H489" s="2">
        <v>2408.81</v>
      </c>
      <c r="I489" s="2">
        <v>2624.09</v>
      </c>
      <c r="J489" t="s">
        <v>20</v>
      </c>
      <c r="K489">
        <v>0.14000000000000001</v>
      </c>
      <c r="L489" t="s">
        <v>21</v>
      </c>
      <c r="M489" t="s">
        <v>22</v>
      </c>
      <c r="N489" t="s">
        <v>34</v>
      </c>
      <c r="O489" s="2">
        <f>_Salesdata[[#This Row],[Unit_Price]] * _Salesdata[[#This Row],[Quantity_Sold]]</f>
        <v>76098.61</v>
      </c>
      <c r="P489" s="2">
        <f>_Salesdata[[#This Row],[Unit_Cost]] * _Salesdata[[#This Row],[Quantity_Sold]]</f>
        <v>69855.490000000005</v>
      </c>
      <c r="Q489" s="2">
        <f>_Salesdata[[#This Row],[Gross_Sales]] - _Salesdata[[#This Row],[Total Cost]]</f>
        <v>6243.1199999999953</v>
      </c>
      <c r="R489" s="2"/>
    </row>
    <row r="490" spans="1:18" x14ac:dyDescent="0.25">
      <c r="A490">
        <v>1018</v>
      </c>
      <c r="B490" s="1">
        <v>44952</v>
      </c>
      <c r="C490" t="s">
        <v>24</v>
      </c>
      <c r="D490" t="s">
        <v>18</v>
      </c>
      <c r="E490" s="2">
        <v>3187.45</v>
      </c>
      <c r="F490">
        <v>11</v>
      </c>
      <c r="G490" t="s">
        <v>19</v>
      </c>
      <c r="H490" s="2">
        <v>2414.8200000000002</v>
      </c>
      <c r="I490" s="2">
        <v>2519.0700000000002</v>
      </c>
      <c r="J490" t="s">
        <v>20</v>
      </c>
      <c r="K490">
        <v>0</v>
      </c>
      <c r="L490" t="s">
        <v>21</v>
      </c>
      <c r="M490" t="s">
        <v>22</v>
      </c>
      <c r="N490" t="s">
        <v>46</v>
      </c>
      <c r="O490" s="2">
        <f>_Salesdata[[#This Row],[Unit_Price]] * _Salesdata[[#This Row],[Quantity_Sold]]</f>
        <v>27709.77</v>
      </c>
      <c r="P490" s="2">
        <f>_Salesdata[[#This Row],[Unit_Cost]] * _Salesdata[[#This Row],[Quantity_Sold]]</f>
        <v>26563.02</v>
      </c>
      <c r="Q490" s="2">
        <f>_Salesdata[[#This Row],[Gross_Sales]] - _Salesdata[[#This Row],[Total Cost]]</f>
        <v>1146.75</v>
      </c>
      <c r="R490" s="2"/>
    </row>
    <row r="491" spans="1:18" x14ac:dyDescent="0.25">
      <c r="A491">
        <v>1004</v>
      </c>
      <c r="B491" s="1">
        <v>45099</v>
      </c>
      <c r="C491" t="s">
        <v>48</v>
      </c>
      <c r="D491" t="s">
        <v>40</v>
      </c>
      <c r="E491" s="2">
        <v>7762.51</v>
      </c>
      <c r="F491">
        <v>39</v>
      </c>
      <c r="G491" t="s">
        <v>26</v>
      </c>
      <c r="H491" s="2">
        <v>2416.89</v>
      </c>
      <c r="I491" s="2">
        <v>2778.3999999999901</v>
      </c>
      <c r="J491" t="s">
        <v>20</v>
      </c>
      <c r="K491">
        <v>0.05</v>
      </c>
      <c r="L491" t="s">
        <v>21</v>
      </c>
      <c r="M491" t="s">
        <v>22</v>
      </c>
      <c r="N491" t="s">
        <v>50</v>
      </c>
      <c r="O491" s="2">
        <f>_Salesdata[[#This Row],[Unit_Price]] * _Salesdata[[#This Row],[Quantity_Sold]]</f>
        <v>108357.59999999961</v>
      </c>
      <c r="P491" s="2">
        <f>_Salesdata[[#This Row],[Unit_Cost]] * _Salesdata[[#This Row],[Quantity_Sold]]</f>
        <v>94258.709999999992</v>
      </c>
      <c r="Q491" s="2">
        <f>_Salesdata[[#This Row],[Gross_Sales]] - _Salesdata[[#This Row],[Total Cost]]</f>
        <v>14098.889999999621</v>
      </c>
      <c r="R491" s="2"/>
    </row>
    <row r="492" spans="1:18" x14ac:dyDescent="0.25">
      <c r="A492">
        <v>1077</v>
      </c>
      <c r="B492" s="1">
        <v>44964</v>
      </c>
      <c r="C492" t="s">
        <v>48</v>
      </c>
      <c r="D492" t="s">
        <v>25</v>
      </c>
      <c r="E492" s="2">
        <v>9605.34</v>
      </c>
      <c r="F492">
        <v>12</v>
      </c>
      <c r="G492" t="s">
        <v>19</v>
      </c>
      <c r="H492" s="2">
        <v>2427.46</v>
      </c>
      <c r="I492" s="2">
        <v>2743.09</v>
      </c>
      <c r="J492" t="s">
        <v>27</v>
      </c>
      <c r="K492">
        <v>0.28999999999999998</v>
      </c>
      <c r="L492" t="s">
        <v>28</v>
      </c>
      <c r="M492" t="s">
        <v>32</v>
      </c>
      <c r="N492" t="s">
        <v>49</v>
      </c>
      <c r="O492" s="2">
        <f>_Salesdata[[#This Row],[Unit_Price]] * _Salesdata[[#This Row],[Quantity_Sold]]</f>
        <v>32917.08</v>
      </c>
      <c r="P492" s="2">
        <f>_Salesdata[[#This Row],[Unit_Cost]] * _Salesdata[[#This Row],[Quantity_Sold]]</f>
        <v>29129.52</v>
      </c>
      <c r="Q492" s="2">
        <f>_Salesdata[[#This Row],[Gross_Sales]] - _Salesdata[[#This Row],[Total Cost]]</f>
        <v>3787.5600000000013</v>
      </c>
      <c r="R492" s="2"/>
    </row>
    <row r="493" spans="1:18" x14ac:dyDescent="0.25">
      <c r="A493">
        <v>1001</v>
      </c>
      <c r="B493" s="1">
        <v>45183</v>
      </c>
      <c r="C493" t="s">
        <v>48</v>
      </c>
      <c r="D493" t="s">
        <v>40</v>
      </c>
      <c r="E493" s="2">
        <v>2126.33</v>
      </c>
      <c r="F493">
        <v>39</v>
      </c>
      <c r="G493" t="s">
        <v>31</v>
      </c>
      <c r="H493" s="2">
        <v>2437.2600000000002</v>
      </c>
      <c r="I493" s="2">
        <v>2889.67</v>
      </c>
      <c r="J493" t="s">
        <v>20</v>
      </c>
      <c r="K493">
        <v>0.25</v>
      </c>
      <c r="L493" t="s">
        <v>21</v>
      </c>
      <c r="M493" t="s">
        <v>22</v>
      </c>
      <c r="N493" t="s">
        <v>50</v>
      </c>
      <c r="O493" s="2">
        <f>_Salesdata[[#This Row],[Unit_Price]] * _Salesdata[[#This Row],[Quantity_Sold]]</f>
        <v>112697.13</v>
      </c>
      <c r="P493" s="2">
        <f>_Salesdata[[#This Row],[Unit_Cost]] * _Salesdata[[#This Row],[Quantity_Sold]]</f>
        <v>95053.140000000014</v>
      </c>
      <c r="Q493" s="2">
        <f>_Salesdata[[#This Row],[Gross_Sales]] - _Salesdata[[#This Row],[Total Cost]]</f>
        <v>17643.989999999991</v>
      </c>
      <c r="R493" s="2"/>
    </row>
    <row r="494" spans="1:18" x14ac:dyDescent="0.25">
      <c r="A494">
        <v>1088</v>
      </c>
      <c r="B494" s="1">
        <v>45246</v>
      </c>
      <c r="C494" t="s">
        <v>48</v>
      </c>
      <c r="D494" t="s">
        <v>37</v>
      </c>
      <c r="E494" s="2">
        <v>8518.4500000000007</v>
      </c>
      <c r="F494">
        <v>13</v>
      </c>
      <c r="G494" t="s">
        <v>39</v>
      </c>
      <c r="H494" s="2">
        <v>2440.11</v>
      </c>
      <c r="I494" s="2">
        <v>2517.6</v>
      </c>
      <c r="J494" t="s">
        <v>27</v>
      </c>
      <c r="K494">
        <v>0.23</v>
      </c>
      <c r="L494" t="s">
        <v>44</v>
      </c>
      <c r="M494" t="s">
        <v>32</v>
      </c>
      <c r="N494" t="s">
        <v>52</v>
      </c>
      <c r="O494" s="2">
        <f>_Salesdata[[#This Row],[Unit_Price]] * _Salesdata[[#This Row],[Quantity_Sold]]</f>
        <v>32728.799999999999</v>
      </c>
      <c r="P494" s="2">
        <f>_Salesdata[[#This Row],[Unit_Cost]] * _Salesdata[[#This Row],[Quantity_Sold]]</f>
        <v>31721.43</v>
      </c>
      <c r="Q494" s="2">
        <f>_Salesdata[[#This Row],[Gross_Sales]] - _Salesdata[[#This Row],[Total Cost]]</f>
        <v>1007.369999999999</v>
      </c>
      <c r="R494" s="2"/>
    </row>
    <row r="495" spans="1:18" x14ac:dyDescent="0.25">
      <c r="A495">
        <v>1053</v>
      </c>
      <c r="B495" s="1">
        <v>44946</v>
      </c>
      <c r="C495" t="s">
        <v>30</v>
      </c>
      <c r="D495" t="s">
        <v>25</v>
      </c>
      <c r="E495" s="2">
        <v>8785.77</v>
      </c>
      <c r="F495">
        <v>42</v>
      </c>
      <c r="G495" t="s">
        <v>39</v>
      </c>
      <c r="H495" s="2">
        <v>2443.5700000000002</v>
      </c>
      <c r="I495" s="2">
        <v>2943.31</v>
      </c>
      <c r="J495" t="s">
        <v>27</v>
      </c>
      <c r="K495">
        <v>0.28999999999999998</v>
      </c>
      <c r="L495" t="s">
        <v>21</v>
      </c>
      <c r="M495" t="s">
        <v>22</v>
      </c>
      <c r="N495" t="s">
        <v>45</v>
      </c>
      <c r="O495" s="2">
        <f>_Salesdata[[#This Row],[Unit_Price]] * _Salesdata[[#This Row],[Quantity_Sold]]</f>
        <v>123619.02</v>
      </c>
      <c r="P495" s="2">
        <f>_Salesdata[[#This Row],[Unit_Cost]] * _Salesdata[[#This Row],[Quantity_Sold]]</f>
        <v>102629.94</v>
      </c>
      <c r="Q495" s="2">
        <f>_Salesdata[[#This Row],[Gross_Sales]] - _Salesdata[[#This Row],[Total Cost]]</f>
        <v>20989.08</v>
      </c>
      <c r="R495" s="2"/>
    </row>
    <row r="496" spans="1:18" x14ac:dyDescent="0.25">
      <c r="A496">
        <v>1081</v>
      </c>
      <c r="B496" s="1">
        <v>45028</v>
      </c>
      <c r="C496" t="s">
        <v>17</v>
      </c>
      <c r="D496" t="s">
        <v>40</v>
      </c>
      <c r="E496" s="2">
        <v>9680.84</v>
      </c>
      <c r="F496">
        <v>19</v>
      </c>
      <c r="G496" t="s">
        <v>31</v>
      </c>
      <c r="H496" s="2">
        <v>2443.69</v>
      </c>
      <c r="I496" s="2">
        <v>2462.34</v>
      </c>
      <c r="J496" t="s">
        <v>27</v>
      </c>
      <c r="K496">
        <v>7.0000000000000007E-2</v>
      </c>
      <c r="L496" t="s">
        <v>44</v>
      </c>
      <c r="M496" t="s">
        <v>32</v>
      </c>
      <c r="N496" t="s">
        <v>42</v>
      </c>
      <c r="O496" s="2">
        <f>_Salesdata[[#This Row],[Unit_Price]] * _Salesdata[[#This Row],[Quantity_Sold]]</f>
        <v>46784.460000000006</v>
      </c>
      <c r="P496" s="2">
        <f>_Salesdata[[#This Row],[Unit_Cost]] * _Salesdata[[#This Row],[Quantity_Sold]]</f>
        <v>46430.11</v>
      </c>
      <c r="Q496" s="2">
        <f>_Salesdata[[#This Row],[Gross_Sales]] - _Salesdata[[#This Row],[Total Cost]]</f>
        <v>354.35000000000582</v>
      </c>
      <c r="R496" s="2"/>
    </row>
    <row r="497" spans="1:18" x14ac:dyDescent="0.25">
      <c r="A497">
        <v>1096</v>
      </c>
      <c r="B497" s="1">
        <v>45012</v>
      </c>
      <c r="C497" t="s">
        <v>24</v>
      </c>
      <c r="D497" t="s">
        <v>37</v>
      </c>
      <c r="E497" s="2">
        <v>4821.3100000000004</v>
      </c>
      <c r="F497">
        <v>48</v>
      </c>
      <c r="G497" t="s">
        <v>19</v>
      </c>
      <c r="H497" s="2">
        <v>2449.21</v>
      </c>
      <c r="I497" s="2">
        <v>2714.12</v>
      </c>
      <c r="J497" t="s">
        <v>27</v>
      </c>
      <c r="K497">
        <v>0.01</v>
      </c>
      <c r="L497" t="s">
        <v>28</v>
      </c>
      <c r="M497" t="s">
        <v>22</v>
      </c>
      <c r="N497" t="s">
        <v>53</v>
      </c>
      <c r="O497" s="2">
        <f>_Salesdata[[#This Row],[Unit_Price]] * _Salesdata[[#This Row],[Quantity_Sold]]</f>
        <v>130277.75999999999</v>
      </c>
      <c r="P497" s="2">
        <f>_Salesdata[[#This Row],[Unit_Cost]] * _Salesdata[[#This Row],[Quantity_Sold]]</f>
        <v>117562.08</v>
      </c>
      <c r="Q497" s="2">
        <f>_Salesdata[[#This Row],[Gross_Sales]] - _Salesdata[[#This Row],[Total Cost]]</f>
        <v>12715.679999999993</v>
      </c>
      <c r="R497" s="2"/>
    </row>
    <row r="498" spans="1:18" x14ac:dyDescent="0.25">
      <c r="A498">
        <v>1056</v>
      </c>
      <c r="B498" s="1">
        <v>45063</v>
      </c>
      <c r="C498" t="s">
        <v>30</v>
      </c>
      <c r="D498" t="s">
        <v>25</v>
      </c>
      <c r="E498" s="2">
        <v>8374.68</v>
      </c>
      <c r="F498">
        <v>47</v>
      </c>
      <c r="G498" t="s">
        <v>39</v>
      </c>
      <c r="H498" s="2">
        <v>2461.6999999999998</v>
      </c>
      <c r="I498" s="2">
        <v>2529.02</v>
      </c>
      <c r="J498" t="s">
        <v>20</v>
      </c>
      <c r="K498">
        <v>0.22</v>
      </c>
      <c r="L498" t="s">
        <v>21</v>
      </c>
      <c r="M498" t="s">
        <v>32</v>
      </c>
      <c r="N498" t="s">
        <v>45</v>
      </c>
      <c r="O498" s="2">
        <f>_Salesdata[[#This Row],[Unit_Price]] * _Salesdata[[#This Row],[Quantity_Sold]]</f>
        <v>118863.94</v>
      </c>
      <c r="P498" s="2">
        <f>_Salesdata[[#This Row],[Unit_Cost]] * _Salesdata[[#This Row],[Quantity_Sold]]</f>
        <v>115699.9</v>
      </c>
      <c r="Q498" s="2">
        <f>_Salesdata[[#This Row],[Gross_Sales]] - _Salesdata[[#This Row],[Total Cost]]</f>
        <v>3164.0400000000081</v>
      </c>
      <c r="R498" s="2"/>
    </row>
    <row r="499" spans="1:18" x14ac:dyDescent="0.25">
      <c r="A499">
        <v>1012</v>
      </c>
      <c r="B499" s="1">
        <v>45221</v>
      </c>
      <c r="C499" t="s">
        <v>30</v>
      </c>
      <c r="D499" t="s">
        <v>37</v>
      </c>
      <c r="E499" s="2">
        <v>4384.88</v>
      </c>
      <c r="F499">
        <v>34</v>
      </c>
      <c r="G499" t="s">
        <v>39</v>
      </c>
      <c r="H499" s="2">
        <v>2462.5500000000002</v>
      </c>
      <c r="I499" s="2">
        <v>2521.77</v>
      </c>
      <c r="J499" t="s">
        <v>27</v>
      </c>
      <c r="K499">
        <v>0.21</v>
      </c>
      <c r="L499" t="s">
        <v>44</v>
      </c>
      <c r="M499" t="s">
        <v>32</v>
      </c>
      <c r="N499" t="s">
        <v>51</v>
      </c>
      <c r="O499" s="2">
        <f>_Salesdata[[#This Row],[Unit_Price]] * _Salesdata[[#This Row],[Quantity_Sold]]</f>
        <v>85740.18</v>
      </c>
      <c r="P499" s="2">
        <f>_Salesdata[[#This Row],[Unit_Cost]] * _Salesdata[[#This Row],[Quantity_Sold]]</f>
        <v>83726.700000000012</v>
      </c>
      <c r="Q499" s="2">
        <f>_Salesdata[[#This Row],[Gross_Sales]] - _Salesdata[[#This Row],[Total Cost]]</f>
        <v>2013.4799999999814</v>
      </c>
      <c r="R499" s="2"/>
    </row>
    <row r="500" spans="1:18" x14ac:dyDescent="0.25">
      <c r="A500">
        <v>1069</v>
      </c>
      <c r="B500" s="1">
        <v>45006</v>
      </c>
      <c r="C500" t="s">
        <v>17</v>
      </c>
      <c r="D500" t="s">
        <v>18</v>
      </c>
      <c r="E500" s="2">
        <v>9369.18</v>
      </c>
      <c r="F500">
        <v>29</v>
      </c>
      <c r="G500" t="s">
        <v>39</v>
      </c>
      <c r="H500" s="2">
        <v>2462.66</v>
      </c>
      <c r="I500" s="2">
        <v>2908.0899999999901</v>
      </c>
      <c r="J500" t="s">
        <v>27</v>
      </c>
      <c r="K500">
        <v>0.12</v>
      </c>
      <c r="L500" t="s">
        <v>28</v>
      </c>
      <c r="M500" t="s">
        <v>22</v>
      </c>
      <c r="N500" t="s">
        <v>23</v>
      </c>
      <c r="O500" s="2">
        <f>_Salesdata[[#This Row],[Unit_Price]] * _Salesdata[[#This Row],[Quantity_Sold]]</f>
        <v>84334.60999999971</v>
      </c>
      <c r="P500" s="2">
        <f>_Salesdata[[#This Row],[Unit_Cost]] * _Salesdata[[#This Row],[Quantity_Sold]]</f>
        <v>71417.14</v>
      </c>
      <c r="Q500" s="2">
        <f>_Salesdata[[#This Row],[Gross_Sales]] - _Salesdata[[#This Row],[Total Cost]]</f>
        <v>12917.46999999971</v>
      </c>
      <c r="R500" s="2"/>
    </row>
    <row r="501" spans="1:18" x14ac:dyDescent="0.25">
      <c r="A501">
        <v>1032</v>
      </c>
      <c r="B501" s="1">
        <v>45046</v>
      </c>
      <c r="C501" t="s">
        <v>24</v>
      </c>
      <c r="D501" t="s">
        <v>25</v>
      </c>
      <c r="E501" s="2">
        <v>4241.51</v>
      </c>
      <c r="F501">
        <v>18</v>
      </c>
      <c r="G501" t="s">
        <v>26</v>
      </c>
      <c r="H501" s="2">
        <v>2466.1799999999998</v>
      </c>
      <c r="I501" s="2">
        <v>2483.87</v>
      </c>
      <c r="J501" t="s">
        <v>20</v>
      </c>
      <c r="K501">
        <v>0.08</v>
      </c>
      <c r="L501" t="s">
        <v>21</v>
      </c>
      <c r="M501" t="s">
        <v>22</v>
      </c>
      <c r="N501" t="s">
        <v>29</v>
      </c>
      <c r="O501" s="2">
        <f>_Salesdata[[#This Row],[Unit_Price]] * _Salesdata[[#This Row],[Quantity_Sold]]</f>
        <v>44709.659999999996</v>
      </c>
      <c r="P501" s="2">
        <f>_Salesdata[[#This Row],[Unit_Cost]] * _Salesdata[[#This Row],[Quantity_Sold]]</f>
        <v>44391.24</v>
      </c>
      <c r="Q501" s="2">
        <f>_Salesdata[[#This Row],[Gross_Sales]] - _Salesdata[[#This Row],[Total Cost]]</f>
        <v>318.41999999999825</v>
      </c>
      <c r="R501" s="2"/>
    </row>
    <row r="502" spans="1:18" x14ac:dyDescent="0.25">
      <c r="A502">
        <v>1014</v>
      </c>
      <c r="B502" s="1">
        <v>45084</v>
      </c>
      <c r="C502" t="s">
        <v>24</v>
      </c>
      <c r="D502" t="s">
        <v>37</v>
      </c>
      <c r="E502" s="2">
        <v>408.38</v>
      </c>
      <c r="F502">
        <v>3</v>
      </c>
      <c r="G502" t="s">
        <v>26</v>
      </c>
      <c r="H502" s="2">
        <v>2468.29</v>
      </c>
      <c r="I502" s="2">
        <v>2723.13</v>
      </c>
      <c r="J502" t="s">
        <v>20</v>
      </c>
      <c r="K502">
        <v>0.08</v>
      </c>
      <c r="L502" t="s">
        <v>21</v>
      </c>
      <c r="M502" t="s">
        <v>32</v>
      </c>
      <c r="N502" t="s">
        <v>53</v>
      </c>
      <c r="O502" s="2">
        <f>_Salesdata[[#This Row],[Unit_Price]] * _Salesdata[[#This Row],[Quantity_Sold]]</f>
        <v>8169.39</v>
      </c>
      <c r="P502" s="2">
        <f>_Salesdata[[#This Row],[Unit_Cost]] * _Salesdata[[#This Row],[Quantity_Sold]]</f>
        <v>7404.87</v>
      </c>
      <c r="Q502" s="2">
        <f>_Salesdata[[#This Row],[Gross_Sales]] - _Salesdata[[#This Row],[Total Cost]]</f>
        <v>764.52000000000044</v>
      </c>
      <c r="R502" s="2"/>
    </row>
    <row r="503" spans="1:18" x14ac:dyDescent="0.25">
      <c r="A503">
        <v>1099</v>
      </c>
      <c r="B503" s="1">
        <v>45267</v>
      </c>
      <c r="C503" t="s">
        <v>17</v>
      </c>
      <c r="D503" t="s">
        <v>18</v>
      </c>
      <c r="E503" s="2">
        <v>3043.18</v>
      </c>
      <c r="F503">
        <v>22</v>
      </c>
      <c r="G503" t="s">
        <v>39</v>
      </c>
      <c r="H503" s="2">
        <v>2471.67</v>
      </c>
      <c r="I503" s="2">
        <v>2533.04</v>
      </c>
      <c r="J503" t="s">
        <v>20</v>
      </c>
      <c r="K503">
        <v>0.02</v>
      </c>
      <c r="L503" t="s">
        <v>44</v>
      </c>
      <c r="M503" t="s">
        <v>32</v>
      </c>
      <c r="N503" t="s">
        <v>23</v>
      </c>
      <c r="O503" s="2">
        <f>_Salesdata[[#This Row],[Unit_Price]] * _Salesdata[[#This Row],[Quantity_Sold]]</f>
        <v>55726.879999999997</v>
      </c>
      <c r="P503" s="2">
        <f>_Salesdata[[#This Row],[Unit_Cost]] * _Salesdata[[#This Row],[Quantity_Sold]]</f>
        <v>54376.740000000005</v>
      </c>
      <c r="Q503" s="2">
        <f>_Salesdata[[#This Row],[Gross_Sales]] - _Salesdata[[#This Row],[Total Cost]]</f>
        <v>1350.1399999999921</v>
      </c>
      <c r="R503" s="2"/>
    </row>
    <row r="504" spans="1:18" x14ac:dyDescent="0.25">
      <c r="A504">
        <v>1099</v>
      </c>
      <c r="B504" s="1">
        <v>45164</v>
      </c>
      <c r="C504" t="s">
        <v>30</v>
      </c>
      <c r="D504" t="s">
        <v>25</v>
      </c>
      <c r="E504" s="2">
        <v>1934.18</v>
      </c>
      <c r="F504">
        <v>17</v>
      </c>
      <c r="G504" t="s">
        <v>31</v>
      </c>
      <c r="H504" s="2">
        <v>2471.73</v>
      </c>
      <c r="I504" s="2">
        <v>2568.73</v>
      </c>
      <c r="J504" t="s">
        <v>27</v>
      </c>
      <c r="K504">
        <v>0.05</v>
      </c>
      <c r="L504" t="s">
        <v>21</v>
      </c>
      <c r="M504" t="s">
        <v>32</v>
      </c>
      <c r="N504" t="s">
        <v>45</v>
      </c>
      <c r="O504" s="2">
        <f>_Salesdata[[#This Row],[Unit_Price]] * _Salesdata[[#This Row],[Quantity_Sold]]</f>
        <v>43668.41</v>
      </c>
      <c r="P504" s="2">
        <f>_Salesdata[[#This Row],[Unit_Cost]] * _Salesdata[[#This Row],[Quantity_Sold]]</f>
        <v>42019.41</v>
      </c>
      <c r="Q504" s="2">
        <f>_Salesdata[[#This Row],[Gross_Sales]] - _Salesdata[[#This Row],[Total Cost]]</f>
        <v>1649</v>
      </c>
      <c r="R504" s="2"/>
    </row>
    <row r="505" spans="1:18" x14ac:dyDescent="0.25">
      <c r="A505">
        <v>1069</v>
      </c>
      <c r="B505" s="1">
        <v>45144</v>
      </c>
      <c r="C505" t="s">
        <v>17</v>
      </c>
      <c r="D505" t="s">
        <v>37</v>
      </c>
      <c r="E505" s="2">
        <v>7936.43</v>
      </c>
      <c r="F505">
        <v>4</v>
      </c>
      <c r="G505" t="s">
        <v>26</v>
      </c>
      <c r="H505" s="2">
        <v>2485.86</v>
      </c>
      <c r="I505" s="2">
        <v>2532.87</v>
      </c>
      <c r="J505" t="s">
        <v>27</v>
      </c>
      <c r="K505">
        <v>0.01</v>
      </c>
      <c r="L505" t="s">
        <v>28</v>
      </c>
      <c r="M505" t="s">
        <v>22</v>
      </c>
      <c r="N505" t="s">
        <v>47</v>
      </c>
      <c r="O505" s="2">
        <f>_Salesdata[[#This Row],[Unit_Price]] * _Salesdata[[#This Row],[Quantity_Sold]]</f>
        <v>10131.48</v>
      </c>
      <c r="P505" s="2">
        <f>_Salesdata[[#This Row],[Unit_Cost]] * _Salesdata[[#This Row],[Quantity_Sold]]</f>
        <v>9943.44</v>
      </c>
      <c r="Q505" s="2">
        <f>_Salesdata[[#This Row],[Gross_Sales]] - _Salesdata[[#This Row],[Total Cost]]</f>
        <v>188.03999999999905</v>
      </c>
      <c r="R505" s="2"/>
    </row>
    <row r="506" spans="1:18" x14ac:dyDescent="0.25">
      <c r="A506">
        <v>1062</v>
      </c>
      <c r="B506" s="1">
        <v>45021</v>
      </c>
      <c r="C506" t="s">
        <v>17</v>
      </c>
      <c r="D506" t="s">
        <v>37</v>
      </c>
      <c r="E506" s="2">
        <v>2959.96</v>
      </c>
      <c r="F506">
        <v>48</v>
      </c>
      <c r="G506" t="s">
        <v>31</v>
      </c>
      <c r="H506" s="2">
        <v>2487.19</v>
      </c>
      <c r="I506" s="2">
        <v>2521.4499999999998</v>
      </c>
      <c r="J506" t="s">
        <v>27</v>
      </c>
      <c r="K506">
        <v>0.28999999999999998</v>
      </c>
      <c r="L506" t="s">
        <v>21</v>
      </c>
      <c r="M506" t="s">
        <v>22</v>
      </c>
      <c r="N506" t="s">
        <v>47</v>
      </c>
      <c r="O506" s="2">
        <f>_Salesdata[[#This Row],[Unit_Price]] * _Salesdata[[#This Row],[Quantity_Sold]]</f>
        <v>121029.59999999999</v>
      </c>
      <c r="P506" s="2">
        <f>_Salesdata[[#This Row],[Unit_Cost]] * _Salesdata[[#This Row],[Quantity_Sold]]</f>
        <v>119385.12</v>
      </c>
      <c r="Q506" s="2">
        <f>_Salesdata[[#This Row],[Gross_Sales]] - _Salesdata[[#This Row],[Total Cost]]</f>
        <v>1644.4799999999959</v>
      </c>
      <c r="R506" s="2"/>
    </row>
    <row r="507" spans="1:18" x14ac:dyDescent="0.25">
      <c r="A507">
        <v>1034</v>
      </c>
      <c r="B507" s="1">
        <v>45018</v>
      </c>
      <c r="C507" t="s">
        <v>35</v>
      </c>
      <c r="D507" t="s">
        <v>25</v>
      </c>
      <c r="E507" s="2">
        <v>2184.02</v>
      </c>
      <c r="F507">
        <v>7</v>
      </c>
      <c r="G507" t="s">
        <v>26</v>
      </c>
      <c r="H507" s="2">
        <v>2492.36</v>
      </c>
      <c r="I507" s="2">
        <v>2738.68</v>
      </c>
      <c r="J507" t="s">
        <v>20</v>
      </c>
      <c r="K507">
        <v>0.11</v>
      </c>
      <c r="L507" t="s">
        <v>21</v>
      </c>
      <c r="M507" t="s">
        <v>22</v>
      </c>
      <c r="N507" t="s">
        <v>56</v>
      </c>
      <c r="O507" s="2">
        <f>_Salesdata[[#This Row],[Unit_Price]] * _Salesdata[[#This Row],[Quantity_Sold]]</f>
        <v>19170.759999999998</v>
      </c>
      <c r="P507" s="2">
        <f>_Salesdata[[#This Row],[Unit_Cost]] * _Salesdata[[#This Row],[Quantity_Sold]]</f>
        <v>17446.52</v>
      </c>
      <c r="Q507" s="2">
        <f>_Salesdata[[#This Row],[Gross_Sales]] - _Salesdata[[#This Row],[Total Cost]]</f>
        <v>1724.239999999998</v>
      </c>
      <c r="R507" s="2"/>
    </row>
    <row r="508" spans="1:18" x14ac:dyDescent="0.25">
      <c r="A508">
        <v>1055</v>
      </c>
      <c r="B508" s="1">
        <v>45010</v>
      </c>
      <c r="C508" t="s">
        <v>30</v>
      </c>
      <c r="D508" t="s">
        <v>18</v>
      </c>
      <c r="E508" s="2">
        <v>1756.83</v>
      </c>
      <c r="F508">
        <v>11</v>
      </c>
      <c r="G508" t="s">
        <v>26</v>
      </c>
      <c r="H508" s="2">
        <v>2495.1999999999998</v>
      </c>
      <c r="I508" s="2">
        <v>2600.9299999999998</v>
      </c>
      <c r="J508" t="s">
        <v>27</v>
      </c>
      <c r="K508">
        <v>0.21</v>
      </c>
      <c r="L508" t="s">
        <v>44</v>
      </c>
      <c r="M508" t="s">
        <v>32</v>
      </c>
      <c r="N508" t="s">
        <v>33</v>
      </c>
      <c r="O508" s="2">
        <f>_Salesdata[[#This Row],[Unit_Price]] * _Salesdata[[#This Row],[Quantity_Sold]]</f>
        <v>28610.23</v>
      </c>
      <c r="P508" s="2">
        <f>_Salesdata[[#This Row],[Unit_Cost]] * _Salesdata[[#This Row],[Quantity_Sold]]</f>
        <v>27447.199999999997</v>
      </c>
      <c r="Q508" s="2">
        <f>_Salesdata[[#This Row],[Gross_Sales]] - _Salesdata[[#This Row],[Total Cost]]</f>
        <v>1163.0300000000025</v>
      </c>
      <c r="R508" s="2"/>
    </row>
    <row r="509" spans="1:18" x14ac:dyDescent="0.25">
      <c r="A509">
        <v>1083</v>
      </c>
      <c r="B509" s="1">
        <v>45152</v>
      </c>
      <c r="C509" t="s">
        <v>48</v>
      </c>
      <c r="D509" t="s">
        <v>25</v>
      </c>
      <c r="E509" s="2">
        <v>4902.4399999999996</v>
      </c>
      <c r="F509">
        <v>42</v>
      </c>
      <c r="G509" t="s">
        <v>19</v>
      </c>
      <c r="H509" s="2">
        <v>2505.41</v>
      </c>
      <c r="I509" s="2">
        <v>2638.96</v>
      </c>
      <c r="J509" t="s">
        <v>27</v>
      </c>
      <c r="K509">
        <v>0.1</v>
      </c>
      <c r="L509" t="s">
        <v>44</v>
      </c>
      <c r="M509" t="s">
        <v>22</v>
      </c>
      <c r="N509" t="s">
        <v>49</v>
      </c>
      <c r="O509" s="2">
        <f>_Salesdata[[#This Row],[Unit_Price]] * _Salesdata[[#This Row],[Quantity_Sold]]</f>
        <v>110836.32</v>
      </c>
      <c r="P509" s="2">
        <f>_Salesdata[[#This Row],[Unit_Cost]] * _Salesdata[[#This Row],[Quantity_Sold]]</f>
        <v>105227.22</v>
      </c>
      <c r="Q509" s="2">
        <f>_Salesdata[[#This Row],[Gross_Sales]] - _Salesdata[[#This Row],[Total Cost]]</f>
        <v>5609.1000000000058</v>
      </c>
      <c r="R509" s="2"/>
    </row>
    <row r="510" spans="1:18" x14ac:dyDescent="0.25">
      <c r="A510">
        <v>1030</v>
      </c>
      <c r="B510" s="1">
        <v>44998</v>
      </c>
      <c r="C510" t="s">
        <v>24</v>
      </c>
      <c r="D510" t="s">
        <v>37</v>
      </c>
      <c r="E510" s="2">
        <v>9385.86</v>
      </c>
      <c r="F510">
        <v>39</v>
      </c>
      <c r="G510" t="s">
        <v>31</v>
      </c>
      <c r="H510" s="2">
        <v>2511.2800000000002</v>
      </c>
      <c r="I510" s="2">
        <v>2658.06</v>
      </c>
      <c r="J510" t="s">
        <v>27</v>
      </c>
      <c r="K510">
        <v>0.19</v>
      </c>
      <c r="L510" t="s">
        <v>28</v>
      </c>
      <c r="M510" t="s">
        <v>32</v>
      </c>
      <c r="N510" t="s">
        <v>53</v>
      </c>
      <c r="O510" s="2">
        <f>_Salesdata[[#This Row],[Unit_Price]] * _Salesdata[[#This Row],[Quantity_Sold]]</f>
        <v>103664.34</v>
      </c>
      <c r="P510" s="2">
        <f>_Salesdata[[#This Row],[Unit_Cost]] * _Salesdata[[#This Row],[Quantity_Sold]]</f>
        <v>97939.920000000013</v>
      </c>
      <c r="Q510" s="2">
        <f>_Salesdata[[#This Row],[Gross_Sales]] - _Salesdata[[#This Row],[Total Cost]]</f>
        <v>5724.4199999999837</v>
      </c>
      <c r="R510" s="2"/>
    </row>
    <row r="511" spans="1:18" x14ac:dyDescent="0.25">
      <c r="A511">
        <v>1027</v>
      </c>
      <c r="B511" s="1">
        <v>44995</v>
      </c>
      <c r="C511" t="s">
        <v>48</v>
      </c>
      <c r="D511" t="s">
        <v>40</v>
      </c>
      <c r="E511" s="2">
        <v>3985.34</v>
      </c>
      <c r="F511">
        <v>21</v>
      </c>
      <c r="G511" t="s">
        <v>31</v>
      </c>
      <c r="H511" s="2">
        <v>2511.41</v>
      </c>
      <c r="I511" s="2">
        <v>2848.3999999999901</v>
      </c>
      <c r="J511" t="s">
        <v>20</v>
      </c>
      <c r="K511">
        <v>0.06</v>
      </c>
      <c r="L511" t="s">
        <v>44</v>
      </c>
      <c r="M511" t="s">
        <v>22</v>
      </c>
      <c r="N511" t="s">
        <v>50</v>
      </c>
      <c r="O511" s="2">
        <f>_Salesdata[[#This Row],[Unit_Price]] * _Salesdata[[#This Row],[Quantity_Sold]]</f>
        <v>59816.39999999979</v>
      </c>
      <c r="P511" s="2">
        <f>_Salesdata[[#This Row],[Unit_Cost]] * _Salesdata[[#This Row],[Quantity_Sold]]</f>
        <v>52739.61</v>
      </c>
      <c r="Q511" s="2">
        <f>_Salesdata[[#This Row],[Gross_Sales]] - _Salesdata[[#This Row],[Total Cost]]</f>
        <v>7076.7899999997899</v>
      </c>
      <c r="R511" s="2"/>
    </row>
    <row r="512" spans="1:18" x14ac:dyDescent="0.25">
      <c r="A512">
        <v>1036</v>
      </c>
      <c r="B512" s="1">
        <v>45161</v>
      </c>
      <c r="C512" t="s">
        <v>30</v>
      </c>
      <c r="D512" t="s">
        <v>18</v>
      </c>
      <c r="E512" s="2">
        <v>8167.9</v>
      </c>
      <c r="F512">
        <v>25</v>
      </c>
      <c r="G512" t="s">
        <v>31</v>
      </c>
      <c r="H512" s="2">
        <v>2520.9699999999998</v>
      </c>
      <c r="I512" s="2">
        <v>2707.1099999999901</v>
      </c>
      <c r="J512" t="s">
        <v>27</v>
      </c>
      <c r="K512">
        <v>0.25</v>
      </c>
      <c r="L512" t="s">
        <v>21</v>
      </c>
      <c r="M512" t="s">
        <v>32</v>
      </c>
      <c r="N512" t="s">
        <v>33</v>
      </c>
      <c r="O512" s="2">
        <f>_Salesdata[[#This Row],[Unit_Price]] * _Salesdata[[#This Row],[Quantity_Sold]]</f>
        <v>67677.749999999753</v>
      </c>
      <c r="P512" s="2">
        <f>_Salesdata[[#This Row],[Unit_Cost]] * _Salesdata[[#This Row],[Quantity_Sold]]</f>
        <v>63024.249999999993</v>
      </c>
      <c r="Q512" s="2">
        <f>_Salesdata[[#This Row],[Gross_Sales]] - _Salesdata[[#This Row],[Total Cost]]</f>
        <v>4653.4999999997599</v>
      </c>
      <c r="R512" s="2"/>
    </row>
    <row r="513" spans="1:18" x14ac:dyDescent="0.25">
      <c r="A513">
        <v>1028</v>
      </c>
      <c r="B513" s="1">
        <v>44968</v>
      </c>
      <c r="C513" t="s">
        <v>24</v>
      </c>
      <c r="D513" t="s">
        <v>18</v>
      </c>
      <c r="E513" s="2">
        <v>2819.57</v>
      </c>
      <c r="F513">
        <v>24</v>
      </c>
      <c r="G513" t="s">
        <v>19</v>
      </c>
      <c r="H513" s="2">
        <v>2521.0300000000002</v>
      </c>
      <c r="I513" s="2">
        <v>2766.05</v>
      </c>
      <c r="J513" t="s">
        <v>20</v>
      </c>
      <c r="K513">
        <v>0.16</v>
      </c>
      <c r="L513" t="s">
        <v>44</v>
      </c>
      <c r="M513" t="s">
        <v>32</v>
      </c>
      <c r="N513" t="s">
        <v>46</v>
      </c>
      <c r="O513" s="2">
        <f>_Salesdata[[#This Row],[Unit_Price]] * _Salesdata[[#This Row],[Quantity_Sold]]</f>
        <v>66385.200000000012</v>
      </c>
      <c r="P513" s="2">
        <f>_Salesdata[[#This Row],[Unit_Cost]] * _Salesdata[[#This Row],[Quantity_Sold]]</f>
        <v>60504.72</v>
      </c>
      <c r="Q513" s="2">
        <f>_Salesdata[[#This Row],[Gross_Sales]] - _Salesdata[[#This Row],[Total Cost]]</f>
        <v>5880.4800000000105</v>
      </c>
      <c r="R513" s="2"/>
    </row>
    <row r="514" spans="1:18" x14ac:dyDescent="0.25">
      <c r="A514">
        <v>1032</v>
      </c>
      <c r="B514" s="1">
        <v>45107</v>
      </c>
      <c r="C514" t="s">
        <v>48</v>
      </c>
      <c r="D514" t="s">
        <v>37</v>
      </c>
      <c r="E514" s="2">
        <v>3312.67</v>
      </c>
      <c r="F514">
        <v>6</v>
      </c>
      <c r="G514" t="s">
        <v>19</v>
      </c>
      <c r="H514" s="2">
        <v>2522.7600000000002</v>
      </c>
      <c r="I514" s="2">
        <v>2840.14</v>
      </c>
      <c r="J514" t="s">
        <v>20</v>
      </c>
      <c r="K514">
        <v>7.0000000000000007E-2</v>
      </c>
      <c r="L514" t="s">
        <v>28</v>
      </c>
      <c r="M514" t="s">
        <v>32</v>
      </c>
      <c r="N514" t="s">
        <v>52</v>
      </c>
      <c r="O514" s="2">
        <f>_Salesdata[[#This Row],[Unit_Price]] * _Salesdata[[#This Row],[Quantity_Sold]]</f>
        <v>17040.84</v>
      </c>
      <c r="P514" s="2">
        <f>_Salesdata[[#This Row],[Unit_Cost]] * _Salesdata[[#This Row],[Quantity_Sold]]</f>
        <v>15136.560000000001</v>
      </c>
      <c r="Q514" s="2">
        <f>_Salesdata[[#This Row],[Gross_Sales]] - _Salesdata[[#This Row],[Total Cost]]</f>
        <v>1904.2799999999988</v>
      </c>
      <c r="R514" s="2"/>
    </row>
    <row r="515" spans="1:18" x14ac:dyDescent="0.25">
      <c r="A515">
        <v>1081</v>
      </c>
      <c r="B515" s="1">
        <v>45121</v>
      </c>
      <c r="C515" t="s">
        <v>48</v>
      </c>
      <c r="D515" t="s">
        <v>37</v>
      </c>
      <c r="E515" s="2">
        <v>7001.64</v>
      </c>
      <c r="F515">
        <v>16</v>
      </c>
      <c r="G515" t="s">
        <v>19</v>
      </c>
      <c r="H515" s="2">
        <v>2530.15</v>
      </c>
      <c r="I515" s="2">
        <v>2568.13</v>
      </c>
      <c r="J515" t="s">
        <v>27</v>
      </c>
      <c r="K515">
        <v>0.01</v>
      </c>
      <c r="L515" t="s">
        <v>28</v>
      </c>
      <c r="M515" t="s">
        <v>22</v>
      </c>
      <c r="N515" t="s">
        <v>52</v>
      </c>
      <c r="O515" s="2">
        <f>_Salesdata[[#This Row],[Unit_Price]] * _Salesdata[[#This Row],[Quantity_Sold]]</f>
        <v>41090.080000000002</v>
      </c>
      <c r="P515" s="2">
        <f>_Salesdata[[#This Row],[Unit_Cost]] * _Salesdata[[#This Row],[Quantity_Sold]]</f>
        <v>40482.400000000001</v>
      </c>
      <c r="Q515" s="2">
        <f>_Salesdata[[#This Row],[Gross_Sales]] - _Salesdata[[#This Row],[Total Cost]]</f>
        <v>607.68000000000029</v>
      </c>
      <c r="R515" s="2"/>
    </row>
    <row r="516" spans="1:18" x14ac:dyDescent="0.25">
      <c r="A516">
        <v>1035</v>
      </c>
      <c r="B516" s="1">
        <v>45004</v>
      </c>
      <c r="C516" t="s">
        <v>17</v>
      </c>
      <c r="D516" t="s">
        <v>40</v>
      </c>
      <c r="E516" s="2">
        <v>5343.63</v>
      </c>
      <c r="F516">
        <v>9</v>
      </c>
      <c r="G516" t="s">
        <v>19</v>
      </c>
      <c r="H516" s="2">
        <v>2534.94</v>
      </c>
      <c r="I516" s="2">
        <v>2755.56</v>
      </c>
      <c r="J516" t="s">
        <v>20</v>
      </c>
      <c r="K516">
        <v>0.13</v>
      </c>
      <c r="L516" t="s">
        <v>28</v>
      </c>
      <c r="M516" t="s">
        <v>32</v>
      </c>
      <c r="N516" t="s">
        <v>42</v>
      </c>
      <c r="O516" s="2">
        <f>_Salesdata[[#This Row],[Unit_Price]] * _Salesdata[[#This Row],[Quantity_Sold]]</f>
        <v>24800.04</v>
      </c>
      <c r="P516" s="2">
        <f>_Salesdata[[#This Row],[Unit_Cost]] * _Salesdata[[#This Row],[Quantity_Sold]]</f>
        <v>22814.46</v>
      </c>
      <c r="Q516" s="2">
        <f>_Salesdata[[#This Row],[Gross_Sales]] - _Salesdata[[#This Row],[Total Cost]]</f>
        <v>1985.5800000000017</v>
      </c>
      <c r="R516" s="2"/>
    </row>
    <row r="517" spans="1:18" x14ac:dyDescent="0.25">
      <c r="A517">
        <v>1022</v>
      </c>
      <c r="B517" s="1">
        <v>45155</v>
      </c>
      <c r="C517" t="s">
        <v>35</v>
      </c>
      <c r="D517" t="s">
        <v>40</v>
      </c>
      <c r="E517" s="2">
        <v>8813.5499999999993</v>
      </c>
      <c r="F517">
        <v>21</v>
      </c>
      <c r="G517" t="s">
        <v>31</v>
      </c>
      <c r="H517" s="2">
        <v>2537.1999999999998</v>
      </c>
      <c r="I517" s="2">
        <v>2869.6</v>
      </c>
      <c r="J517" t="s">
        <v>27</v>
      </c>
      <c r="K517">
        <v>0.28999999999999998</v>
      </c>
      <c r="L517" t="s">
        <v>44</v>
      </c>
      <c r="M517" t="s">
        <v>32</v>
      </c>
      <c r="N517" t="s">
        <v>43</v>
      </c>
      <c r="O517" s="2">
        <f>_Salesdata[[#This Row],[Unit_Price]] * _Salesdata[[#This Row],[Quantity_Sold]]</f>
        <v>60261.599999999999</v>
      </c>
      <c r="P517" s="2">
        <f>_Salesdata[[#This Row],[Unit_Cost]] * _Salesdata[[#This Row],[Quantity_Sold]]</f>
        <v>53281.2</v>
      </c>
      <c r="Q517" s="2">
        <f>_Salesdata[[#This Row],[Gross_Sales]] - _Salesdata[[#This Row],[Total Cost]]</f>
        <v>6980.4000000000015</v>
      </c>
      <c r="R517" s="2"/>
    </row>
    <row r="518" spans="1:18" x14ac:dyDescent="0.25">
      <c r="A518">
        <v>1055</v>
      </c>
      <c r="B518" s="1">
        <v>45172</v>
      </c>
      <c r="C518" t="s">
        <v>35</v>
      </c>
      <c r="D518" t="s">
        <v>25</v>
      </c>
      <c r="E518" s="2">
        <v>7169.12</v>
      </c>
      <c r="F518">
        <v>12</v>
      </c>
      <c r="G518" t="s">
        <v>26</v>
      </c>
      <c r="H518" s="2">
        <v>2538.61</v>
      </c>
      <c r="I518" s="2">
        <v>2971.75</v>
      </c>
      <c r="J518" t="s">
        <v>20</v>
      </c>
      <c r="K518">
        <v>0.24</v>
      </c>
      <c r="L518" t="s">
        <v>21</v>
      </c>
      <c r="M518" t="s">
        <v>22</v>
      </c>
      <c r="N518" t="s">
        <v>56</v>
      </c>
      <c r="O518" s="2">
        <f>_Salesdata[[#This Row],[Unit_Price]] * _Salesdata[[#This Row],[Quantity_Sold]]</f>
        <v>35661</v>
      </c>
      <c r="P518" s="2">
        <f>_Salesdata[[#This Row],[Unit_Cost]] * _Salesdata[[#This Row],[Quantity_Sold]]</f>
        <v>30463.32</v>
      </c>
      <c r="Q518" s="2">
        <f>_Salesdata[[#This Row],[Gross_Sales]] - _Salesdata[[#This Row],[Total Cost]]</f>
        <v>5197.68</v>
      </c>
      <c r="R518" s="2"/>
    </row>
    <row r="519" spans="1:18" x14ac:dyDescent="0.25">
      <c r="A519">
        <v>1007</v>
      </c>
      <c r="B519" s="1">
        <v>44988</v>
      </c>
      <c r="C519" t="s">
        <v>48</v>
      </c>
      <c r="D519" t="s">
        <v>25</v>
      </c>
      <c r="E519" s="2">
        <v>4694.54</v>
      </c>
      <c r="F519">
        <v>1</v>
      </c>
      <c r="G519" t="s">
        <v>31</v>
      </c>
      <c r="H519" s="2">
        <v>2543.2600000000002</v>
      </c>
      <c r="I519" s="2">
        <v>2637.91</v>
      </c>
      <c r="J519" t="s">
        <v>20</v>
      </c>
      <c r="K519">
        <v>0.2</v>
      </c>
      <c r="L519" t="s">
        <v>28</v>
      </c>
      <c r="M519" t="s">
        <v>22</v>
      </c>
      <c r="N519" t="s">
        <v>49</v>
      </c>
      <c r="O519" s="2">
        <f>_Salesdata[[#This Row],[Unit_Price]] * _Salesdata[[#This Row],[Quantity_Sold]]</f>
        <v>2637.91</v>
      </c>
      <c r="P519" s="2">
        <f>_Salesdata[[#This Row],[Unit_Cost]] * _Salesdata[[#This Row],[Quantity_Sold]]</f>
        <v>2543.2600000000002</v>
      </c>
      <c r="Q519" s="2">
        <f>_Salesdata[[#This Row],[Gross_Sales]] - _Salesdata[[#This Row],[Total Cost]]</f>
        <v>94.649999999999636</v>
      </c>
      <c r="R519" s="2"/>
    </row>
    <row r="520" spans="1:18" x14ac:dyDescent="0.25">
      <c r="A520">
        <v>1038</v>
      </c>
      <c r="B520" s="1">
        <v>44996</v>
      </c>
      <c r="C520" t="s">
        <v>17</v>
      </c>
      <c r="D520" t="s">
        <v>40</v>
      </c>
      <c r="E520" s="2">
        <v>1452.35</v>
      </c>
      <c r="F520">
        <v>15</v>
      </c>
      <c r="G520" t="s">
        <v>19</v>
      </c>
      <c r="H520" s="2">
        <v>2543.36</v>
      </c>
      <c r="I520" s="2">
        <v>2790.1</v>
      </c>
      <c r="J520" t="s">
        <v>20</v>
      </c>
      <c r="K520">
        <v>7.0000000000000007E-2</v>
      </c>
      <c r="L520" t="s">
        <v>21</v>
      </c>
      <c r="M520" t="s">
        <v>22</v>
      </c>
      <c r="N520" t="s">
        <v>42</v>
      </c>
      <c r="O520" s="2">
        <f>_Salesdata[[#This Row],[Unit_Price]] * _Salesdata[[#This Row],[Quantity_Sold]]</f>
        <v>41851.5</v>
      </c>
      <c r="P520" s="2">
        <f>_Salesdata[[#This Row],[Unit_Cost]] * _Salesdata[[#This Row],[Quantity_Sold]]</f>
        <v>38150.400000000001</v>
      </c>
      <c r="Q520" s="2">
        <f>_Salesdata[[#This Row],[Gross_Sales]] - _Salesdata[[#This Row],[Total Cost]]</f>
        <v>3701.0999999999985</v>
      </c>
      <c r="R520" s="2"/>
    </row>
    <row r="521" spans="1:18" x14ac:dyDescent="0.25">
      <c r="A521">
        <v>1046</v>
      </c>
      <c r="B521" s="1">
        <v>44979</v>
      </c>
      <c r="C521" t="s">
        <v>24</v>
      </c>
      <c r="D521" t="s">
        <v>40</v>
      </c>
      <c r="E521" s="2">
        <v>3391.32</v>
      </c>
      <c r="F521">
        <v>46</v>
      </c>
      <c r="G521" t="s">
        <v>19</v>
      </c>
      <c r="H521" s="2">
        <v>2551.56</v>
      </c>
      <c r="I521" s="2">
        <v>2841.68</v>
      </c>
      <c r="J521" t="s">
        <v>27</v>
      </c>
      <c r="K521">
        <v>0.09</v>
      </c>
      <c r="L521" t="s">
        <v>44</v>
      </c>
      <c r="M521" t="s">
        <v>32</v>
      </c>
      <c r="N521" t="s">
        <v>55</v>
      </c>
      <c r="O521" s="2">
        <f>_Salesdata[[#This Row],[Unit_Price]] * _Salesdata[[#This Row],[Quantity_Sold]]</f>
        <v>130717.28</v>
      </c>
      <c r="P521" s="2">
        <f>_Salesdata[[#This Row],[Unit_Cost]] * _Salesdata[[#This Row],[Quantity_Sold]]</f>
        <v>117371.76</v>
      </c>
      <c r="Q521" s="2">
        <f>_Salesdata[[#This Row],[Gross_Sales]] - _Salesdata[[#This Row],[Total Cost]]</f>
        <v>13345.520000000004</v>
      </c>
      <c r="R521" s="2"/>
    </row>
    <row r="522" spans="1:18" x14ac:dyDescent="0.25">
      <c r="A522">
        <v>1073</v>
      </c>
      <c r="B522" s="1">
        <v>45220</v>
      </c>
      <c r="C522" t="s">
        <v>24</v>
      </c>
      <c r="D522" t="s">
        <v>25</v>
      </c>
      <c r="E522" s="2">
        <v>1365.88</v>
      </c>
      <c r="F522">
        <v>45</v>
      </c>
      <c r="G522" t="s">
        <v>39</v>
      </c>
      <c r="H522" s="2">
        <v>2558.09</v>
      </c>
      <c r="I522" s="2">
        <v>2958.55</v>
      </c>
      <c r="J522" t="s">
        <v>27</v>
      </c>
      <c r="K522">
        <v>0.08</v>
      </c>
      <c r="L522" t="s">
        <v>21</v>
      </c>
      <c r="M522" t="s">
        <v>22</v>
      </c>
      <c r="N522" t="s">
        <v>29</v>
      </c>
      <c r="O522" s="2">
        <f>_Salesdata[[#This Row],[Unit_Price]] * _Salesdata[[#This Row],[Quantity_Sold]]</f>
        <v>133134.75</v>
      </c>
      <c r="P522" s="2">
        <f>_Salesdata[[#This Row],[Unit_Cost]] * _Salesdata[[#This Row],[Quantity_Sold]]</f>
        <v>115114.05</v>
      </c>
      <c r="Q522" s="2">
        <f>_Salesdata[[#This Row],[Gross_Sales]] - _Salesdata[[#This Row],[Total Cost]]</f>
        <v>18020.699999999997</v>
      </c>
      <c r="R522" s="2"/>
    </row>
    <row r="523" spans="1:18" x14ac:dyDescent="0.25">
      <c r="A523">
        <v>1092</v>
      </c>
      <c r="B523" s="1">
        <v>45114</v>
      </c>
      <c r="C523" t="s">
        <v>24</v>
      </c>
      <c r="D523" t="s">
        <v>40</v>
      </c>
      <c r="E523" s="2">
        <v>1039.69</v>
      </c>
      <c r="F523">
        <v>14</v>
      </c>
      <c r="G523" t="s">
        <v>39</v>
      </c>
      <c r="H523" s="2">
        <v>2559.65</v>
      </c>
      <c r="I523" s="2">
        <v>2709.4</v>
      </c>
      <c r="J523" t="s">
        <v>20</v>
      </c>
      <c r="K523">
        <v>0.11</v>
      </c>
      <c r="L523" t="s">
        <v>28</v>
      </c>
      <c r="M523" t="s">
        <v>32</v>
      </c>
      <c r="N523" t="s">
        <v>55</v>
      </c>
      <c r="O523" s="2">
        <f>_Salesdata[[#This Row],[Unit_Price]] * _Salesdata[[#This Row],[Quantity_Sold]]</f>
        <v>37931.599999999999</v>
      </c>
      <c r="P523" s="2">
        <f>_Salesdata[[#This Row],[Unit_Cost]] * _Salesdata[[#This Row],[Quantity_Sold]]</f>
        <v>35835.1</v>
      </c>
      <c r="Q523" s="2">
        <f>_Salesdata[[#This Row],[Gross_Sales]] - _Salesdata[[#This Row],[Total Cost]]</f>
        <v>2096.5</v>
      </c>
      <c r="R523" s="2"/>
    </row>
    <row r="524" spans="1:18" x14ac:dyDescent="0.25">
      <c r="A524">
        <v>1086</v>
      </c>
      <c r="B524" s="1">
        <v>45116</v>
      </c>
      <c r="C524" t="s">
        <v>30</v>
      </c>
      <c r="D524" t="s">
        <v>37</v>
      </c>
      <c r="E524" s="2">
        <v>7041.28</v>
      </c>
      <c r="F524">
        <v>28</v>
      </c>
      <c r="G524" t="s">
        <v>31</v>
      </c>
      <c r="H524" s="2">
        <v>2564.35</v>
      </c>
      <c r="I524" s="2">
        <v>2765.79</v>
      </c>
      <c r="J524" t="s">
        <v>20</v>
      </c>
      <c r="K524">
        <v>0.17</v>
      </c>
      <c r="L524" t="s">
        <v>28</v>
      </c>
      <c r="M524" t="s">
        <v>22</v>
      </c>
      <c r="N524" t="s">
        <v>51</v>
      </c>
      <c r="O524" s="2">
        <f>_Salesdata[[#This Row],[Unit_Price]] * _Salesdata[[#This Row],[Quantity_Sold]]</f>
        <v>77442.12</v>
      </c>
      <c r="P524" s="2">
        <f>_Salesdata[[#This Row],[Unit_Cost]] * _Salesdata[[#This Row],[Quantity_Sold]]</f>
        <v>71801.8</v>
      </c>
      <c r="Q524" s="2">
        <f>_Salesdata[[#This Row],[Gross_Sales]] - _Salesdata[[#This Row],[Total Cost]]</f>
        <v>5640.3199999999924</v>
      </c>
      <c r="R524" s="2"/>
    </row>
    <row r="525" spans="1:18" x14ac:dyDescent="0.25">
      <c r="A525">
        <v>1073</v>
      </c>
      <c r="B525" s="1">
        <v>45261</v>
      </c>
      <c r="C525" t="s">
        <v>30</v>
      </c>
      <c r="D525" t="s">
        <v>25</v>
      </c>
      <c r="E525" s="2">
        <v>5238.42</v>
      </c>
      <c r="F525">
        <v>40</v>
      </c>
      <c r="G525" t="s">
        <v>39</v>
      </c>
      <c r="H525" s="2">
        <v>2565.3000000000002</v>
      </c>
      <c r="I525" s="2">
        <v>3007.47</v>
      </c>
      <c r="J525" t="s">
        <v>20</v>
      </c>
      <c r="K525">
        <v>0.17</v>
      </c>
      <c r="L525" t="s">
        <v>28</v>
      </c>
      <c r="M525" t="s">
        <v>32</v>
      </c>
      <c r="N525" t="s">
        <v>45</v>
      </c>
      <c r="O525" s="2">
        <f>_Salesdata[[#This Row],[Unit_Price]] * _Salesdata[[#This Row],[Quantity_Sold]]</f>
        <v>120298.79999999999</v>
      </c>
      <c r="P525" s="2">
        <f>_Salesdata[[#This Row],[Unit_Cost]] * _Salesdata[[#This Row],[Quantity_Sold]]</f>
        <v>102612</v>
      </c>
      <c r="Q525" s="2">
        <f>_Salesdata[[#This Row],[Gross_Sales]] - _Salesdata[[#This Row],[Total Cost]]</f>
        <v>17686.799999999988</v>
      </c>
      <c r="R525" s="2"/>
    </row>
    <row r="526" spans="1:18" x14ac:dyDescent="0.25">
      <c r="A526">
        <v>1075</v>
      </c>
      <c r="B526" s="1">
        <v>45153</v>
      </c>
      <c r="C526" t="s">
        <v>35</v>
      </c>
      <c r="D526" t="s">
        <v>37</v>
      </c>
      <c r="E526" s="2">
        <v>9972.11</v>
      </c>
      <c r="F526">
        <v>28</v>
      </c>
      <c r="G526" t="s">
        <v>19</v>
      </c>
      <c r="H526" s="2">
        <v>2570.2199999999998</v>
      </c>
      <c r="I526" s="2">
        <v>2610.8399999999901</v>
      </c>
      <c r="J526" t="s">
        <v>20</v>
      </c>
      <c r="K526">
        <v>0.27</v>
      </c>
      <c r="L526" t="s">
        <v>44</v>
      </c>
      <c r="M526" t="s">
        <v>32</v>
      </c>
      <c r="N526" t="s">
        <v>38</v>
      </c>
      <c r="O526" s="2">
        <f>_Salesdata[[#This Row],[Unit_Price]] * _Salesdata[[#This Row],[Quantity_Sold]]</f>
        <v>73103.519999999728</v>
      </c>
      <c r="P526" s="2">
        <f>_Salesdata[[#This Row],[Unit_Cost]] * _Salesdata[[#This Row],[Quantity_Sold]]</f>
        <v>71966.159999999989</v>
      </c>
      <c r="Q526" s="2">
        <f>_Salesdata[[#This Row],[Gross_Sales]] - _Salesdata[[#This Row],[Total Cost]]</f>
        <v>1137.3599999997386</v>
      </c>
      <c r="R526" s="2"/>
    </row>
    <row r="527" spans="1:18" x14ac:dyDescent="0.25">
      <c r="A527">
        <v>1029</v>
      </c>
      <c r="B527" s="1">
        <v>45229</v>
      </c>
      <c r="C527" t="s">
        <v>48</v>
      </c>
      <c r="D527" t="s">
        <v>18</v>
      </c>
      <c r="E527" s="2">
        <v>4333.25</v>
      </c>
      <c r="F527">
        <v>16</v>
      </c>
      <c r="G527" t="s">
        <v>26</v>
      </c>
      <c r="H527" s="2">
        <v>2572.8000000000002</v>
      </c>
      <c r="I527" s="2">
        <v>2760.6</v>
      </c>
      <c r="J527" t="s">
        <v>20</v>
      </c>
      <c r="K527">
        <v>0.15</v>
      </c>
      <c r="L527" t="s">
        <v>28</v>
      </c>
      <c r="M527" t="s">
        <v>32</v>
      </c>
      <c r="N527" t="s">
        <v>54</v>
      </c>
      <c r="O527" s="2">
        <f>_Salesdata[[#This Row],[Unit_Price]] * _Salesdata[[#This Row],[Quantity_Sold]]</f>
        <v>44169.599999999999</v>
      </c>
      <c r="P527" s="2">
        <f>_Salesdata[[#This Row],[Unit_Cost]] * _Salesdata[[#This Row],[Quantity_Sold]]</f>
        <v>41164.800000000003</v>
      </c>
      <c r="Q527" s="2">
        <f>_Salesdata[[#This Row],[Gross_Sales]] - _Salesdata[[#This Row],[Total Cost]]</f>
        <v>3004.7999999999956</v>
      </c>
      <c r="R527" s="2"/>
    </row>
    <row r="528" spans="1:18" x14ac:dyDescent="0.25">
      <c r="A528">
        <v>1045</v>
      </c>
      <c r="B528" s="1">
        <v>44948</v>
      </c>
      <c r="C528" t="s">
        <v>17</v>
      </c>
      <c r="D528" t="s">
        <v>18</v>
      </c>
      <c r="E528" s="2">
        <v>4594.5</v>
      </c>
      <c r="F528">
        <v>46</v>
      </c>
      <c r="G528" t="s">
        <v>31</v>
      </c>
      <c r="H528" s="2">
        <v>2577.08</v>
      </c>
      <c r="I528" s="2">
        <v>2961.56</v>
      </c>
      <c r="J528" t="s">
        <v>20</v>
      </c>
      <c r="K528">
        <v>0.1</v>
      </c>
      <c r="L528" t="s">
        <v>21</v>
      </c>
      <c r="M528" t="s">
        <v>22</v>
      </c>
      <c r="N528" t="s">
        <v>23</v>
      </c>
      <c r="O528" s="2">
        <f>_Salesdata[[#This Row],[Unit_Price]] * _Salesdata[[#This Row],[Quantity_Sold]]</f>
        <v>136231.76</v>
      </c>
      <c r="P528" s="2">
        <f>_Salesdata[[#This Row],[Unit_Cost]] * _Salesdata[[#This Row],[Quantity_Sold]]</f>
        <v>118545.68</v>
      </c>
      <c r="Q528" s="2">
        <f>_Salesdata[[#This Row],[Gross_Sales]] - _Salesdata[[#This Row],[Total Cost]]</f>
        <v>17686.080000000016</v>
      </c>
      <c r="R528" s="2"/>
    </row>
    <row r="529" spans="1:18" x14ac:dyDescent="0.25">
      <c r="A529">
        <v>1066</v>
      </c>
      <c r="B529" s="1">
        <v>45110</v>
      </c>
      <c r="C529" t="s">
        <v>35</v>
      </c>
      <c r="D529" t="s">
        <v>37</v>
      </c>
      <c r="E529" s="2">
        <v>6380.2</v>
      </c>
      <c r="F529">
        <v>15</v>
      </c>
      <c r="G529" t="s">
        <v>39</v>
      </c>
      <c r="H529" s="2">
        <v>2579.31</v>
      </c>
      <c r="I529" s="2">
        <v>2867.36</v>
      </c>
      <c r="J529" t="s">
        <v>20</v>
      </c>
      <c r="K529">
        <v>0.04</v>
      </c>
      <c r="L529" t="s">
        <v>44</v>
      </c>
      <c r="M529" t="s">
        <v>32</v>
      </c>
      <c r="N529" t="s">
        <v>38</v>
      </c>
      <c r="O529" s="2">
        <f>_Salesdata[[#This Row],[Unit_Price]] * _Salesdata[[#This Row],[Quantity_Sold]]</f>
        <v>43010.400000000001</v>
      </c>
      <c r="P529" s="2">
        <f>_Salesdata[[#This Row],[Unit_Cost]] * _Salesdata[[#This Row],[Quantity_Sold]]</f>
        <v>38689.65</v>
      </c>
      <c r="Q529" s="2">
        <f>_Salesdata[[#This Row],[Gross_Sales]] - _Salesdata[[#This Row],[Total Cost]]</f>
        <v>4320.75</v>
      </c>
      <c r="R529" s="2"/>
    </row>
    <row r="530" spans="1:18" x14ac:dyDescent="0.25">
      <c r="A530">
        <v>1066</v>
      </c>
      <c r="B530" s="1">
        <v>44935</v>
      </c>
      <c r="C530" t="s">
        <v>24</v>
      </c>
      <c r="D530" t="s">
        <v>37</v>
      </c>
      <c r="E530" s="2">
        <v>6264.04</v>
      </c>
      <c r="F530">
        <v>48</v>
      </c>
      <c r="G530" t="s">
        <v>19</v>
      </c>
      <c r="H530" s="2">
        <v>2588.54</v>
      </c>
      <c r="I530" s="2">
        <v>2872.8</v>
      </c>
      <c r="J530" t="s">
        <v>27</v>
      </c>
      <c r="K530">
        <v>0.17</v>
      </c>
      <c r="L530" t="s">
        <v>21</v>
      </c>
      <c r="M530" t="s">
        <v>22</v>
      </c>
      <c r="N530" t="s">
        <v>53</v>
      </c>
      <c r="O530" s="2">
        <f>_Salesdata[[#This Row],[Unit_Price]] * _Salesdata[[#This Row],[Quantity_Sold]]</f>
        <v>137894.40000000002</v>
      </c>
      <c r="P530" s="2">
        <f>_Salesdata[[#This Row],[Unit_Cost]] * _Salesdata[[#This Row],[Quantity_Sold]]</f>
        <v>124249.92</v>
      </c>
      <c r="Q530" s="2">
        <f>_Salesdata[[#This Row],[Gross_Sales]] - _Salesdata[[#This Row],[Total Cost]]</f>
        <v>13644.480000000025</v>
      </c>
      <c r="R530" s="2"/>
    </row>
    <row r="531" spans="1:18" x14ac:dyDescent="0.25">
      <c r="A531">
        <v>1036</v>
      </c>
      <c r="B531" s="1">
        <v>45198</v>
      </c>
      <c r="C531" t="s">
        <v>17</v>
      </c>
      <c r="D531" t="s">
        <v>37</v>
      </c>
      <c r="E531" s="2">
        <v>6116.75</v>
      </c>
      <c r="F531">
        <v>7</v>
      </c>
      <c r="G531" t="s">
        <v>19</v>
      </c>
      <c r="H531" s="2">
        <v>2588.67</v>
      </c>
      <c r="I531" s="2">
        <v>2847.76</v>
      </c>
      <c r="J531" t="s">
        <v>27</v>
      </c>
      <c r="K531">
        <v>0.22</v>
      </c>
      <c r="L531" t="s">
        <v>21</v>
      </c>
      <c r="M531" t="s">
        <v>32</v>
      </c>
      <c r="N531" t="s">
        <v>47</v>
      </c>
      <c r="O531" s="2">
        <f>_Salesdata[[#This Row],[Unit_Price]] * _Salesdata[[#This Row],[Quantity_Sold]]</f>
        <v>19934.32</v>
      </c>
      <c r="P531" s="2">
        <f>_Salesdata[[#This Row],[Unit_Cost]] * _Salesdata[[#This Row],[Quantity_Sold]]</f>
        <v>18120.690000000002</v>
      </c>
      <c r="Q531" s="2">
        <f>_Salesdata[[#This Row],[Gross_Sales]] - _Salesdata[[#This Row],[Total Cost]]</f>
        <v>1813.6299999999974</v>
      </c>
      <c r="R531" s="2"/>
    </row>
    <row r="532" spans="1:18" x14ac:dyDescent="0.25">
      <c r="A532">
        <v>1030</v>
      </c>
      <c r="B532" s="1">
        <v>44962</v>
      </c>
      <c r="C532" t="s">
        <v>30</v>
      </c>
      <c r="D532" t="s">
        <v>18</v>
      </c>
      <c r="E532" s="2">
        <v>236.08</v>
      </c>
      <c r="F532">
        <v>49</v>
      </c>
      <c r="G532" t="s">
        <v>39</v>
      </c>
      <c r="H532" s="2">
        <v>2590.29</v>
      </c>
      <c r="I532" s="2">
        <v>2925.86</v>
      </c>
      <c r="J532" t="s">
        <v>20</v>
      </c>
      <c r="K532">
        <v>0.26</v>
      </c>
      <c r="L532" t="s">
        <v>21</v>
      </c>
      <c r="M532" t="s">
        <v>32</v>
      </c>
      <c r="N532" t="s">
        <v>33</v>
      </c>
      <c r="O532" s="2">
        <f>_Salesdata[[#This Row],[Unit_Price]] * _Salesdata[[#This Row],[Quantity_Sold]]</f>
        <v>143367.14000000001</v>
      </c>
      <c r="P532" s="2">
        <f>_Salesdata[[#This Row],[Unit_Cost]] * _Salesdata[[#This Row],[Quantity_Sold]]</f>
        <v>126924.20999999999</v>
      </c>
      <c r="Q532" s="2">
        <f>_Salesdata[[#This Row],[Gross_Sales]] - _Salesdata[[#This Row],[Total Cost]]</f>
        <v>16442.930000000022</v>
      </c>
      <c r="R532" s="2"/>
    </row>
    <row r="533" spans="1:18" x14ac:dyDescent="0.25">
      <c r="A533">
        <v>1019</v>
      </c>
      <c r="B533" s="1">
        <v>45188</v>
      </c>
      <c r="C533" t="s">
        <v>35</v>
      </c>
      <c r="D533" t="s">
        <v>25</v>
      </c>
      <c r="E533" s="2">
        <v>6705.4</v>
      </c>
      <c r="F533">
        <v>45</v>
      </c>
      <c r="G533" t="s">
        <v>19</v>
      </c>
      <c r="H533" s="2">
        <v>2590.64</v>
      </c>
      <c r="I533" s="2">
        <v>3036.18</v>
      </c>
      <c r="J533" t="s">
        <v>27</v>
      </c>
      <c r="K533">
        <v>0.05</v>
      </c>
      <c r="L533" t="s">
        <v>44</v>
      </c>
      <c r="M533" t="s">
        <v>32</v>
      </c>
      <c r="N533" t="s">
        <v>56</v>
      </c>
      <c r="O533" s="2">
        <f>_Salesdata[[#This Row],[Unit_Price]] * _Salesdata[[#This Row],[Quantity_Sold]]</f>
        <v>136628.1</v>
      </c>
      <c r="P533" s="2">
        <f>_Salesdata[[#This Row],[Unit_Cost]] * _Salesdata[[#This Row],[Quantity_Sold]]</f>
        <v>116578.79999999999</v>
      </c>
      <c r="Q533" s="2">
        <f>_Salesdata[[#This Row],[Gross_Sales]] - _Salesdata[[#This Row],[Total Cost]]</f>
        <v>20049.300000000017</v>
      </c>
      <c r="R533" s="2"/>
    </row>
    <row r="534" spans="1:18" x14ac:dyDescent="0.25">
      <c r="A534">
        <v>1093</v>
      </c>
      <c r="B534" s="1">
        <v>45200</v>
      </c>
      <c r="C534" t="s">
        <v>48</v>
      </c>
      <c r="D534" t="s">
        <v>18</v>
      </c>
      <c r="E534" s="2">
        <v>1697.49</v>
      </c>
      <c r="F534">
        <v>22</v>
      </c>
      <c r="G534" t="s">
        <v>26</v>
      </c>
      <c r="H534" s="2">
        <v>2593.64</v>
      </c>
      <c r="I534" s="2">
        <v>2955.5099999999902</v>
      </c>
      <c r="J534" t="s">
        <v>20</v>
      </c>
      <c r="K534">
        <v>0</v>
      </c>
      <c r="L534" t="s">
        <v>44</v>
      </c>
      <c r="M534" t="s">
        <v>32</v>
      </c>
      <c r="N534" t="s">
        <v>54</v>
      </c>
      <c r="O534" s="2">
        <f>_Salesdata[[#This Row],[Unit_Price]] * _Salesdata[[#This Row],[Quantity_Sold]]</f>
        <v>65021.219999999783</v>
      </c>
      <c r="P534" s="2">
        <f>_Salesdata[[#This Row],[Unit_Cost]] * _Salesdata[[#This Row],[Quantity_Sold]]</f>
        <v>57060.079999999994</v>
      </c>
      <c r="Q534" s="2">
        <f>_Salesdata[[#This Row],[Gross_Sales]] - _Salesdata[[#This Row],[Total Cost]]</f>
        <v>7961.1399999997884</v>
      </c>
      <c r="R534" s="2"/>
    </row>
    <row r="535" spans="1:18" x14ac:dyDescent="0.25">
      <c r="A535">
        <v>1037</v>
      </c>
      <c r="B535" s="1">
        <v>45270</v>
      </c>
      <c r="C535" t="s">
        <v>17</v>
      </c>
      <c r="D535" t="s">
        <v>37</v>
      </c>
      <c r="E535" s="2">
        <v>6351.05</v>
      </c>
      <c r="F535">
        <v>32</v>
      </c>
      <c r="G535" t="s">
        <v>26</v>
      </c>
      <c r="H535" s="2">
        <v>2594.08</v>
      </c>
      <c r="I535" s="2">
        <v>3074.59</v>
      </c>
      <c r="J535" t="s">
        <v>27</v>
      </c>
      <c r="K535">
        <v>0.14000000000000001</v>
      </c>
      <c r="L535" t="s">
        <v>21</v>
      </c>
      <c r="M535" t="s">
        <v>32</v>
      </c>
      <c r="N535" t="s">
        <v>47</v>
      </c>
      <c r="O535" s="2">
        <f>_Salesdata[[#This Row],[Unit_Price]] * _Salesdata[[#This Row],[Quantity_Sold]]</f>
        <v>98386.880000000005</v>
      </c>
      <c r="P535" s="2">
        <f>_Salesdata[[#This Row],[Unit_Cost]] * _Salesdata[[#This Row],[Quantity_Sold]]</f>
        <v>83010.559999999998</v>
      </c>
      <c r="Q535" s="2">
        <f>_Salesdata[[#This Row],[Gross_Sales]] - _Salesdata[[#This Row],[Total Cost]]</f>
        <v>15376.320000000007</v>
      </c>
      <c r="R535" s="2"/>
    </row>
    <row r="536" spans="1:18" x14ac:dyDescent="0.25">
      <c r="A536">
        <v>1017</v>
      </c>
      <c r="B536" s="1">
        <v>44941</v>
      </c>
      <c r="C536" t="s">
        <v>48</v>
      </c>
      <c r="D536" t="s">
        <v>37</v>
      </c>
      <c r="E536" s="2">
        <v>289.52999999999997</v>
      </c>
      <c r="F536">
        <v>6</v>
      </c>
      <c r="G536" t="s">
        <v>39</v>
      </c>
      <c r="H536" s="2">
        <v>2594.42</v>
      </c>
      <c r="I536" s="2">
        <v>3081.04</v>
      </c>
      <c r="J536" t="s">
        <v>20</v>
      </c>
      <c r="K536">
        <v>0.1</v>
      </c>
      <c r="L536" t="s">
        <v>44</v>
      </c>
      <c r="M536" t="s">
        <v>32</v>
      </c>
      <c r="N536" t="s">
        <v>52</v>
      </c>
      <c r="O536" s="2">
        <f>_Salesdata[[#This Row],[Unit_Price]] * _Salesdata[[#This Row],[Quantity_Sold]]</f>
        <v>18486.239999999998</v>
      </c>
      <c r="P536" s="2">
        <f>_Salesdata[[#This Row],[Unit_Cost]] * _Salesdata[[#This Row],[Quantity_Sold]]</f>
        <v>15566.52</v>
      </c>
      <c r="Q536" s="2">
        <f>_Salesdata[[#This Row],[Gross_Sales]] - _Salesdata[[#This Row],[Total Cost]]</f>
        <v>2919.7199999999975</v>
      </c>
      <c r="R536" s="2"/>
    </row>
    <row r="537" spans="1:18" x14ac:dyDescent="0.25">
      <c r="A537">
        <v>1061</v>
      </c>
      <c r="B537" s="1">
        <v>44998</v>
      </c>
      <c r="C537" t="s">
        <v>17</v>
      </c>
      <c r="D537" t="s">
        <v>40</v>
      </c>
      <c r="E537" s="2">
        <v>6321.42</v>
      </c>
      <c r="F537">
        <v>11</v>
      </c>
      <c r="G537" t="s">
        <v>19</v>
      </c>
      <c r="H537" s="2">
        <v>2594.71</v>
      </c>
      <c r="I537" s="2">
        <v>2769.52</v>
      </c>
      <c r="J537" t="s">
        <v>20</v>
      </c>
      <c r="K537">
        <v>0.01</v>
      </c>
      <c r="L537" t="s">
        <v>44</v>
      </c>
      <c r="M537" t="s">
        <v>32</v>
      </c>
      <c r="N537" t="s">
        <v>42</v>
      </c>
      <c r="O537" s="2">
        <f>_Salesdata[[#This Row],[Unit_Price]] * _Salesdata[[#This Row],[Quantity_Sold]]</f>
        <v>30464.720000000001</v>
      </c>
      <c r="P537" s="2">
        <f>_Salesdata[[#This Row],[Unit_Cost]] * _Salesdata[[#This Row],[Quantity_Sold]]</f>
        <v>28541.81</v>
      </c>
      <c r="Q537" s="2">
        <f>_Salesdata[[#This Row],[Gross_Sales]] - _Salesdata[[#This Row],[Total Cost]]</f>
        <v>1922.9099999999999</v>
      </c>
      <c r="R537" s="2"/>
    </row>
    <row r="538" spans="1:18" x14ac:dyDescent="0.25">
      <c r="A538">
        <v>1092</v>
      </c>
      <c r="B538" s="1">
        <v>45118</v>
      </c>
      <c r="C538" t="s">
        <v>48</v>
      </c>
      <c r="D538" t="s">
        <v>18</v>
      </c>
      <c r="E538" s="2">
        <v>7667.1</v>
      </c>
      <c r="F538">
        <v>33</v>
      </c>
      <c r="G538" t="s">
        <v>26</v>
      </c>
      <c r="H538" s="2">
        <v>2595.42</v>
      </c>
      <c r="I538" s="2">
        <v>3083.06</v>
      </c>
      <c r="J538" t="s">
        <v>27</v>
      </c>
      <c r="K538">
        <v>0.08</v>
      </c>
      <c r="L538" t="s">
        <v>28</v>
      </c>
      <c r="M538" t="s">
        <v>22</v>
      </c>
      <c r="N538" t="s">
        <v>54</v>
      </c>
      <c r="O538" s="2">
        <f>_Salesdata[[#This Row],[Unit_Price]] * _Salesdata[[#This Row],[Quantity_Sold]]</f>
        <v>101740.98</v>
      </c>
      <c r="P538" s="2">
        <f>_Salesdata[[#This Row],[Unit_Cost]] * _Salesdata[[#This Row],[Quantity_Sold]]</f>
        <v>85648.86</v>
      </c>
      <c r="Q538" s="2">
        <f>_Salesdata[[#This Row],[Gross_Sales]] - _Salesdata[[#This Row],[Total Cost]]</f>
        <v>16092.119999999995</v>
      </c>
      <c r="R538" s="2"/>
    </row>
    <row r="539" spans="1:18" x14ac:dyDescent="0.25">
      <c r="A539">
        <v>1058</v>
      </c>
      <c r="B539" s="1">
        <v>44990</v>
      </c>
      <c r="C539" t="s">
        <v>48</v>
      </c>
      <c r="D539" t="s">
        <v>37</v>
      </c>
      <c r="E539" s="2">
        <v>252.41</v>
      </c>
      <c r="F539">
        <v>48</v>
      </c>
      <c r="G539" t="s">
        <v>39</v>
      </c>
      <c r="H539" s="2">
        <v>2596.7199999999998</v>
      </c>
      <c r="I539" s="2">
        <v>2715.0499999999902</v>
      </c>
      <c r="J539" t="s">
        <v>20</v>
      </c>
      <c r="K539">
        <v>0.04</v>
      </c>
      <c r="L539" t="s">
        <v>21</v>
      </c>
      <c r="M539" t="s">
        <v>22</v>
      </c>
      <c r="N539" t="s">
        <v>52</v>
      </c>
      <c r="O539" s="2">
        <f>_Salesdata[[#This Row],[Unit_Price]] * _Salesdata[[#This Row],[Quantity_Sold]]</f>
        <v>130322.39999999953</v>
      </c>
      <c r="P539" s="2">
        <f>_Salesdata[[#This Row],[Unit_Cost]] * _Salesdata[[#This Row],[Quantity_Sold]]</f>
        <v>124642.56</v>
      </c>
      <c r="Q539" s="2">
        <f>_Salesdata[[#This Row],[Gross_Sales]] - _Salesdata[[#This Row],[Total Cost]]</f>
        <v>5679.8399999995308</v>
      </c>
      <c r="R539" s="2"/>
    </row>
    <row r="540" spans="1:18" x14ac:dyDescent="0.25">
      <c r="A540">
        <v>1051</v>
      </c>
      <c r="B540" s="1">
        <v>44935</v>
      </c>
      <c r="C540" t="s">
        <v>30</v>
      </c>
      <c r="D540" t="s">
        <v>40</v>
      </c>
      <c r="E540" s="2">
        <v>5785.45</v>
      </c>
      <c r="F540">
        <v>23</v>
      </c>
      <c r="G540" t="s">
        <v>39</v>
      </c>
      <c r="H540" s="2">
        <v>2598.1799999999998</v>
      </c>
      <c r="I540" s="2">
        <v>3042.73</v>
      </c>
      <c r="J540" t="s">
        <v>20</v>
      </c>
      <c r="K540">
        <v>0.24</v>
      </c>
      <c r="L540" t="s">
        <v>28</v>
      </c>
      <c r="M540" t="s">
        <v>22</v>
      </c>
      <c r="N540" t="s">
        <v>41</v>
      </c>
      <c r="O540" s="2">
        <f>_Salesdata[[#This Row],[Unit_Price]] * _Salesdata[[#This Row],[Quantity_Sold]]</f>
        <v>69982.789999999994</v>
      </c>
      <c r="P540" s="2">
        <f>_Salesdata[[#This Row],[Unit_Cost]] * _Salesdata[[#This Row],[Quantity_Sold]]</f>
        <v>59758.14</v>
      </c>
      <c r="Q540" s="2">
        <f>_Salesdata[[#This Row],[Gross_Sales]] - _Salesdata[[#This Row],[Total Cost]]</f>
        <v>10224.649999999994</v>
      </c>
      <c r="R540" s="2"/>
    </row>
    <row r="541" spans="1:18" x14ac:dyDescent="0.25">
      <c r="A541">
        <v>1033</v>
      </c>
      <c r="B541" s="1">
        <v>45249</v>
      </c>
      <c r="C541" t="s">
        <v>30</v>
      </c>
      <c r="D541" t="s">
        <v>37</v>
      </c>
      <c r="E541" s="2">
        <v>349.41</v>
      </c>
      <c r="F541">
        <v>37</v>
      </c>
      <c r="G541" t="s">
        <v>26</v>
      </c>
      <c r="H541" s="2">
        <v>2600.7600000000002</v>
      </c>
      <c r="I541" s="2">
        <v>2937.57</v>
      </c>
      <c r="J541" t="s">
        <v>27</v>
      </c>
      <c r="K541">
        <v>0.17</v>
      </c>
      <c r="L541" t="s">
        <v>28</v>
      </c>
      <c r="M541" t="s">
        <v>32</v>
      </c>
      <c r="N541" t="s">
        <v>51</v>
      </c>
      <c r="O541" s="2">
        <f>_Salesdata[[#This Row],[Unit_Price]] * _Salesdata[[#This Row],[Quantity_Sold]]</f>
        <v>108690.09000000001</v>
      </c>
      <c r="P541" s="2">
        <f>_Salesdata[[#This Row],[Unit_Cost]] * _Salesdata[[#This Row],[Quantity_Sold]]</f>
        <v>96228.12000000001</v>
      </c>
      <c r="Q541" s="2">
        <f>_Salesdata[[#This Row],[Gross_Sales]] - _Salesdata[[#This Row],[Total Cost]]</f>
        <v>12461.970000000001</v>
      </c>
      <c r="R541" s="2"/>
    </row>
    <row r="542" spans="1:18" x14ac:dyDescent="0.25">
      <c r="A542">
        <v>1001</v>
      </c>
      <c r="B542" s="1">
        <v>45209</v>
      </c>
      <c r="C542" t="s">
        <v>30</v>
      </c>
      <c r="D542" t="s">
        <v>25</v>
      </c>
      <c r="E542" s="2">
        <v>3780.07</v>
      </c>
      <c r="F542">
        <v>18</v>
      </c>
      <c r="G542" t="s">
        <v>39</v>
      </c>
      <c r="H542" s="2">
        <v>2602.6</v>
      </c>
      <c r="I542" s="2">
        <v>3013.49</v>
      </c>
      <c r="J542" t="s">
        <v>20</v>
      </c>
      <c r="K542">
        <v>0.08</v>
      </c>
      <c r="L542" t="s">
        <v>44</v>
      </c>
      <c r="M542" t="s">
        <v>22</v>
      </c>
      <c r="N542" t="s">
        <v>45</v>
      </c>
      <c r="O542" s="2">
        <f>_Salesdata[[#This Row],[Unit_Price]] * _Salesdata[[#This Row],[Quantity_Sold]]</f>
        <v>54242.819999999992</v>
      </c>
      <c r="P542" s="2">
        <f>_Salesdata[[#This Row],[Unit_Cost]] * _Salesdata[[#This Row],[Quantity_Sold]]</f>
        <v>46846.799999999996</v>
      </c>
      <c r="Q542" s="2">
        <f>_Salesdata[[#This Row],[Gross_Sales]] - _Salesdata[[#This Row],[Total Cost]]</f>
        <v>7396.0199999999968</v>
      </c>
      <c r="R542" s="2"/>
    </row>
    <row r="543" spans="1:18" x14ac:dyDescent="0.25">
      <c r="A543">
        <v>1038</v>
      </c>
      <c r="B543" s="1">
        <v>45058</v>
      </c>
      <c r="C543" t="s">
        <v>17</v>
      </c>
      <c r="D543" t="s">
        <v>40</v>
      </c>
      <c r="E543" s="2">
        <v>8630.74</v>
      </c>
      <c r="F543">
        <v>20</v>
      </c>
      <c r="G543" t="s">
        <v>19</v>
      </c>
      <c r="H543" s="2">
        <v>2607.31</v>
      </c>
      <c r="I543" s="2">
        <v>2774.86</v>
      </c>
      <c r="J543" t="s">
        <v>27</v>
      </c>
      <c r="K543">
        <v>0.27</v>
      </c>
      <c r="L543" t="s">
        <v>28</v>
      </c>
      <c r="M543" t="s">
        <v>32</v>
      </c>
      <c r="N543" t="s">
        <v>42</v>
      </c>
      <c r="O543" s="2">
        <f>_Salesdata[[#This Row],[Unit_Price]] * _Salesdata[[#This Row],[Quantity_Sold]]</f>
        <v>55497.200000000004</v>
      </c>
      <c r="P543" s="2">
        <f>_Salesdata[[#This Row],[Unit_Cost]] * _Salesdata[[#This Row],[Quantity_Sold]]</f>
        <v>52146.2</v>
      </c>
      <c r="Q543" s="2">
        <f>_Salesdata[[#This Row],[Gross_Sales]] - _Salesdata[[#This Row],[Total Cost]]</f>
        <v>3351.0000000000073</v>
      </c>
      <c r="R543" s="2"/>
    </row>
    <row r="544" spans="1:18" x14ac:dyDescent="0.25">
      <c r="A544">
        <v>1099</v>
      </c>
      <c r="B544" s="1">
        <v>44981</v>
      </c>
      <c r="C544" t="s">
        <v>30</v>
      </c>
      <c r="D544" t="s">
        <v>18</v>
      </c>
      <c r="E544" s="2">
        <v>8090</v>
      </c>
      <c r="F544">
        <v>35</v>
      </c>
      <c r="G544" t="s">
        <v>19</v>
      </c>
      <c r="H544" s="2">
        <v>2610.19</v>
      </c>
      <c r="I544" s="2">
        <v>2682.53</v>
      </c>
      <c r="J544" t="s">
        <v>27</v>
      </c>
      <c r="K544">
        <v>0.14000000000000001</v>
      </c>
      <c r="L544" t="s">
        <v>21</v>
      </c>
      <c r="M544" t="s">
        <v>32</v>
      </c>
      <c r="N544" t="s">
        <v>33</v>
      </c>
      <c r="O544" s="2">
        <f>_Salesdata[[#This Row],[Unit_Price]] * _Salesdata[[#This Row],[Quantity_Sold]]</f>
        <v>93888.55</v>
      </c>
      <c r="P544" s="2">
        <f>_Salesdata[[#This Row],[Unit_Cost]] * _Salesdata[[#This Row],[Quantity_Sold]]</f>
        <v>91356.650000000009</v>
      </c>
      <c r="Q544" s="2">
        <f>_Salesdata[[#This Row],[Gross_Sales]] - _Salesdata[[#This Row],[Total Cost]]</f>
        <v>2531.8999999999942</v>
      </c>
      <c r="R544" s="2"/>
    </row>
    <row r="545" spans="1:18" x14ac:dyDescent="0.25">
      <c r="A545">
        <v>1074</v>
      </c>
      <c r="B545" s="1">
        <v>45010</v>
      </c>
      <c r="C545" t="s">
        <v>48</v>
      </c>
      <c r="D545" t="s">
        <v>25</v>
      </c>
      <c r="E545" s="2">
        <v>7499.7</v>
      </c>
      <c r="F545">
        <v>38</v>
      </c>
      <c r="G545" t="s">
        <v>31</v>
      </c>
      <c r="H545" s="2">
        <v>2610.6</v>
      </c>
      <c r="I545" s="2">
        <v>2836.94</v>
      </c>
      <c r="J545" t="s">
        <v>20</v>
      </c>
      <c r="K545">
        <v>0.19</v>
      </c>
      <c r="L545" t="s">
        <v>28</v>
      </c>
      <c r="M545" t="s">
        <v>22</v>
      </c>
      <c r="N545" t="s">
        <v>49</v>
      </c>
      <c r="O545" s="2">
        <f>_Salesdata[[#This Row],[Unit_Price]] * _Salesdata[[#This Row],[Quantity_Sold]]</f>
        <v>107803.72</v>
      </c>
      <c r="P545" s="2">
        <f>_Salesdata[[#This Row],[Unit_Cost]] * _Salesdata[[#This Row],[Quantity_Sold]]</f>
        <v>99202.8</v>
      </c>
      <c r="Q545" s="2">
        <f>_Salesdata[[#This Row],[Gross_Sales]] - _Salesdata[[#This Row],[Total Cost]]</f>
        <v>8600.9199999999983</v>
      </c>
      <c r="R545" s="2"/>
    </row>
    <row r="546" spans="1:18" x14ac:dyDescent="0.25">
      <c r="A546">
        <v>1058</v>
      </c>
      <c r="B546" s="1">
        <v>45097</v>
      </c>
      <c r="C546" t="s">
        <v>48</v>
      </c>
      <c r="D546" t="s">
        <v>25</v>
      </c>
      <c r="E546" s="2">
        <v>2896.54</v>
      </c>
      <c r="F546">
        <v>48</v>
      </c>
      <c r="G546" t="s">
        <v>19</v>
      </c>
      <c r="H546" s="2">
        <v>2614.48</v>
      </c>
      <c r="I546" s="2">
        <v>3049.04</v>
      </c>
      <c r="J546" t="s">
        <v>27</v>
      </c>
      <c r="K546">
        <v>0.1</v>
      </c>
      <c r="L546" t="s">
        <v>28</v>
      </c>
      <c r="M546" t="s">
        <v>32</v>
      </c>
      <c r="N546" t="s">
        <v>49</v>
      </c>
      <c r="O546" s="2">
        <f>_Salesdata[[#This Row],[Unit_Price]] * _Salesdata[[#This Row],[Quantity_Sold]]</f>
        <v>146353.91999999998</v>
      </c>
      <c r="P546" s="2">
        <f>_Salesdata[[#This Row],[Unit_Cost]] * _Salesdata[[#This Row],[Quantity_Sold]]</f>
        <v>125495.04000000001</v>
      </c>
      <c r="Q546" s="2">
        <f>_Salesdata[[#This Row],[Gross_Sales]] - _Salesdata[[#This Row],[Total Cost]]</f>
        <v>20858.879999999976</v>
      </c>
      <c r="R546" s="2"/>
    </row>
    <row r="547" spans="1:18" x14ac:dyDescent="0.25">
      <c r="A547">
        <v>1039</v>
      </c>
      <c r="B547" s="1">
        <v>45041</v>
      </c>
      <c r="C547" t="s">
        <v>24</v>
      </c>
      <c r="D547" t="s">
        <v>18</v>
      </c>
      <c r="E547" s="2">
        <v>5830.19</v>
      </c>
      <c r="F547">
        <v>24</v>
      </c>
      <c r="G547" t="s">
        <v>19</v>
      </c>
      <c r="H547" s="2">
        <v>2615.48</v>
      </c>
      <c r="I547" s="2">
        <v>3062.22</v>
      </c>
      <c r="J547" t="s">
        <v>27</v>
      </c>
      <c r="K547">
        <v>0.19</v>
      </c>
      <c r="L547" t="s">
        <v>44</v>
      </c>
      <c r="M547" t="s">
        <v>32</v>
      </c>
      <c r="N547" t="s">
        <v>46</v>
      </c>
      <c r="O547" s="2">
        <f>_Salesdata[[#This Row],[Unit_Price]] * _Salesdata[[#This Row],[Quantity_Sold]]</f>
        <v>73493.279999999999</v>
      </c>
      <c r="P547" s="2">
        <f>_Salesdata[[#This Row],[Unit_Cost]] * _Salesdata[[#This Row],[Quantity_Sold]]</f>
        <v>62771.520000000004</v>
      </c>
      <c r="Q547" s="2">
        <f>_Salesdata[[#This Row],[Gross_Sales]] - _Salesdata[[#This Row],[Total Cost]]</f>
        <v>10721.759999999995</v>
      </c>
      <c r="R547" s="2"/>
    </row>
    <row r="548" spans="1:18" x14ac:dyDescent="0.25">
      <c r="A548">
        <v>1067</v>
      </c>
      <c r="B548" s="1">
        <v>45069</v>
      </c>
      <c r="C548" t="s">
        <v>17</v>
      </c>
      <c r="D548" t="s">
        <v>37</v>
      </c>
      <c r="E548" s="2">
        <v>3133.99</v>
      </c>
      <c r="F548">
        <v>49</v>
      </c>
      <c r="G548" t="s">
        <v>39</v>
      </c>
      <c r="H548" s="2">
        <v>2628.38</v>
      </c>
      <c r="I548" s="2">
        <v>2644.54</v>
      </c>
      <c r="J548" t="s">
        <v>20</v>
      </c>
      <c r="K548">
        <v>0.11</v>
      </c>
      <c r="L548" t="s">
        <v>21</v>
      </c>
      <c r="M548" t="s">
        <v>22</v>
      </c>
      <c r="N548" t="s">
        <v>47</v>
      </c>
      <c r="O548" s="2">
        <f>_Salesdata[[#This Row],[Unit_Price]] * _Salesdata[[#This Row],[Quantity_Sold]]</f>
        <v>129582.45999999999</v>
      </c>
      <c r="P548" s="2">
        <f>_Salesdata[[#This Row],[Unit_Cost]] * _Salesdata[[#This Row],[Quantity_Sold]]</f>
        <v>128790.62000000001</v>
      </c>
      <c r="Q548" s="2">
        <f>_Salesdata[[#This Row],[Gross_Sales]] - _Salesdata[[#This Row],[Total Cost]]</f>
        <v>791.83999999998196</v>
      </c>
      <c r="R548" s="2"/>
    </row>
    <row r="549" spans="1:18" x14ac:dyDescent="0.25">
      <c r="A549">
        <v>1001</v>
      </c>
      <c r="B549" s="1">
        <v>45030</v>
      </c>
      <c r="C549" t="s">
        <v>30</v>
      </c>
      <c r="D549" t="s">
        <v>18</v>
      </c>
      <c r="E549" s="2">
        <v>5488.11</v>
      </c>
      <c r="F549">
        <v>2</v>
      </c>
      <c r="G549" t="s">
        <v>26</v>
      </c>
      <c r="H549" s="2">
        <v>2631.68</v>
      </c>
      <c r="I549" s="2">
        <v>2904.06</v>
      </c>
      <c r="J549" t="s">
        <v>27</v>
      </c>
      <c r="K549">
        <v>0.15</v>
      </c>
      <c r="L549" t="s">
        <v>44</v>
      </c>
      <c r="M549" t="s">
        <v>22</v>
      </c>
      <c r="N549" t="s">
        <v>33</v>
      </c>
      <c r="O549" s="2">
        <f>_Salesdata[[#This Row],[Unit_Price]] * _Salesdata[[#This Row],[Quantity_Sold]]</f>
        <v>5808.12</v>
      </c>
      <c r="P549" s="2">
        <f>_Salesdata[[#This Row],[Unit_Cost]] * _Salesdata[[#This Row],[Quantity_Sold]]</f>
        <v>5263.36</v>
      </c>
      <c r="Q549" s="2">
        <f>_Salesdata[[#This Row],[Gross_Sales]] - _Salesdata[[#This Row],[Total Cost]]</f>
        <v>544.76000000000022</v>
      </c>
      <c r="R549" s="2"/>
    </row>
    <row r="550" spans="1:18" x14ac:dyDescent="0.25">
      <c r="A550">
        <v>1086</v>
      </c>
      <c r="B550" s="1">
        <v>45154</v>
      </c>
      <c r="C550" t="s">
        <v>24</v>
      </c>
      <c r="D550" t="s">
        <v>18</v>
      </c>
      <c r="E550" s="2">
        <v>4923.93</v>
      </c>
      <c r="F550">
        <v>48</v>
      </c>
      <c r="G550" t="s">
        <v>31</v>
      </c>
      <c r="H550" s="2">
        <v>2632.58</v>
      </c>
      <c r="I550" s="2">
        <v>2926.68</v>
      </c>
      <c r="J550" t="s">
        <v>20</v>
      </c>
      <c r="K550">
        <v>0.14000000000000001</v>
      </c>
      <c r="L550" t="s">
        <v>21</v>
      </c>
      <c r="M550" t="s">
        <v>22</v>
      </c>
      <c r="N550" t="s">
        <v>46</v>
      </c>
      <c r="O550" s="2">
        <f>_Salesdata[[#This Row],[Unit_Price]] * _Salesdata[[#This Row],[Quantity_Sold]]</f>
        <v>140480.63999999998</v>
      </c>
      <c r="P550" s="2">
        <f>_Salesdata[[#This Row],[Unit_Cost]] * _Salesdata[[#This Row],[Quantity_Sold]]</f>
        <v>126363.84</v>
      </c>
      <c r="Q550" s="2">
        <f>_Salesdata[[#This Row],[Gross_Sales]] - _Salesdata[[#This Row],[Total Cost]]</f>
        <v>14116.799999999988</v>
      </c>
      <c r="R550" s="2"/>
    </row>
    <row r="551" spans="1:18" x14ac:dyDescent="0.25">
      <c r="A551">
        <v>1076</v>
      </c>
      <c r="B551" s="1">
        <v>45275</v>
      </c>
      <c r="C551" t="s">
        <v>17</v>
      </c>
      <c r="D551" t="s">
        <v>25</v>
      </c>
      <c r="E551" s="2">
        <v>2607.4</v>
      </c>
      <c r="F551">
        <v>32</v>
      </c>
      <c r="G551" t="s">
        <v>31</v>
      </c>
      <c r="H551" s="2">
        <v>2636.36</v>
      </c>
      <c r="I551" s="2">
        <v>2696.78</v>
      </c>
      <c r="J551" t="s">
        <v>27</v>
      </c>
      <c r="K551">
        <v>0.09</v>
      </c>
      <c r="L551" t="s">
        <v>21</v>
      </c>
      <c r="M551" t="s">
        <v>32</v>
      </c>
      <c r="N551" t="s">
        <v>34</v>
      </c>
      <c r="O551" s="2">
        <f>_Salesdata[[#This Row],[Unit_Price]] * _Salesdata[[#This Row],[Quantity_Sold]]</f>
        <v>86296.960000000006</v>
      </c>
      <c r="P551" s="2">
        <f>_Salesdata[[#This Row],[Unit_Cost]] * _Salesdata[[#This Row],[Quantity_Sold]]</f>
        <v>84363.520000000004</v>
      </c>
      <c r="Q551" s="2">
        <f>_Salesdata[[#This Row],[Gross_Sales]] - _Salesdata[[#This Row],[Total Cost]]</f>
        <v>1933.4400000000023</v>
      </c>
      <c r="R551" s="2"/>
    </row>
    <row r="552" spans="1:18" x14ac:dyDescent="0.25">
      <c r="A552">
        <v>1015</v>
      </c>
      <c r="B552" s="1">
        <v>44965</v>
      </c>
      <c r="C552" t="s">
        <v>35</v>
      </c>
      <c r="D552" t="s">
        <v>18</v>
      </c>
      <c r="E552" s="2">
        <v>2669.81</v>
      </c>
      <c r="F552">
        <v>23</v>
      </c>
      <c r="G552" t="s">
        <v>26</v>
      </c>
      <c r="H552" s="2">
        <v>2644.77</v>
      </c>
      <c r="I552" s="2">
        <v>2684.83</v>
      </c>
      <c r="J552" t="s">
        <v>27</v>
      </c>
      <c r="K552">
        <v>0.24</v>
      </c>
      <c r="L552" t="s">
        <v>21</v>
      </c>
      <c r="M552" t="s">
        <v>22</v>
      </c>
      <c r="N552" t="s">
        <v>36</v>
      </c>
      <c r="O552" s="2">
        <f>_Salesdata[[#This Row],[Unit_Price]] * _Salesdata[[#This Row],[Quantity_Sold]]</f>
        <v>61751.09</v>
      </c>
      <c r="P552" s="2">
        <f>_Salesdata[[#This Row],[Unit_Cost]] * _Salesdata[[#This Row],[Quantity_Sold]]</f>
        <v>60829.71</v>
      </c>
      <c r="Q552" s="2">
        <f>_Salesdata[[#This Row],[Gross_Sales]] - _Salesdata[[#This Row],[Total Cost]]</f>
        <v>921.37999999999738</v>
      </c>
      <c r="R552" s="2"/>
    </row>
    <row r="553" spans="1:18" x14ac:dyDescent="0.25">
      <c r="A553">
        <v>1095</v>
      </c>
      <c r="B553" s="1">
        <v>45019</v>
      </c>
      <c r="C553" t="s">
        <v>35</v>
      </c>
      <c r="D553" t="s">
        <v>18</v>
      </c>
      <c r="E553" s="2">
        <v>5873.59</v>
      </c>
      <c r="F553">
        <v>9</v>
      </c>
      <c r="G553" t="s">
        <v>31</v>
      </c>
      <c r="H553" s="2">
        <v>2650.95</v>
      </c>
      <c r="I553" s="2">
        <v>2860.4199999999901</v>
      </c>
      <c r="J553" t="s">
        <v>27</v>
      </c>
      <c r="K553">
        <v>0.12</v>
      </c>
      <c r="L553" t="s">
        <v>21</v>
      </c>
      <c r="M553" t="s">
        <v>32</v>
      </c>
      <c r="N553" t="s">
        <v>36</v>
      </c>
      <c r="O553" s="2">
        <f>_Salesdata[[#This Row],[Unit_Price]] * _Salesdata[[#This Row],[Quantity_Sold]]</f>
        <v>25743.779999999912</v>
      </c>
      <c r="P553" s="2">
        <f>_Salesdata[[#This Row],[Unit_Cost]] * _Salesdata[[#This Row],[Quantity_Sold]]</f>
        <v>23858.55</v>
      </c>
      <c r="Q553" s="2">
        <f>_Salesdata[[#This Row],[Gross_Sales]] - _Salesdata[[#This Row],[Total Cost]]</f>
        <v>1885.2299999999123</v>
      </c>
      <c r="R553" s="2"/>
    </row>
    <row r="554" spans="1:18" x14ac:dyDescent="0.25">
      <c r="A554">
        <v>1054</v>
      </c>
      <c r="B554" s="1">
        <v>44936</v>
      </c>
      <c r="C554" t="s">
        <v>48</v>
      </c>
      <c r="D554" t="s">
        <v>40</v>
      </c>
      <c r="E554" s="2">
        <v>4634.16</v>
      </c>
      <c r="F554">
        <v>40</v>
      </c>
      <c r="G554" t="s">
        <v>39</v>
      </c>
      <c r="H554" s="2">
        <v>2654.11</v>
      </c>
      <c r="I554" s="2">
        <v>2929.32</v>
      </c>
      <c r="J554" t="s">
        <v>20</v>
      </c>
      <c r="K554">
        <v>0.08</v>
      </c>
      <c r="L554" t="s">
        <v>21</v>
      </c>
      <c r="M554" t="s">
        <v>22</v>
      </c>
      <c r="N554" t="s">
        <v>50</v>
      </c>
      <c r="O554" s="2">
        <f>_Salesdata[[#This Row],[Unit_Price]] * _Salesdata[[#This Row],[Quantity_Sold]]</f>
        <v>117172.8</v>
      </c>
      <c r="P554" s="2">
        <f>_Salesdata[[#This Row],[Unit_Cost]] * _Salesdata[[#This Row],[Quantity_Sold]]</f>
        <v>106164.40000000001</v>
      </c>
      <c r="Q554" s="2">
        <f>_Salesdata[[#This Row],[Gross_Sales]] - _Salesdata[[#This Row],[Total Cost]]</f>
        <v>11008.399999999994</v>
      </c>
      <c r="R554" s="2"/>
    </row>
    <row r="555" spans="1:18" x14ac:dyDescent="0.25">
      <c r="A555">
        <v>1073</v>
      </c>
      <c r="B555" s="1">
        <v>45246</v>
      </c>
      <c r="C555" t="s">
        <v>30</v>
      </c>
      <c r="D555" t="s">
        <v>40</v>
      </c>
      <c r="E555" s="2">
        <v>7026.43</v>
      </c>
      <c r="F555">
        <v>48</v>
      </c>
      <c r="G555" t="s">
        <v>19</v>
      </c>
      <c r="H555" s="2">
        <v>2658.9</v>
      </c>
      <c r="I555" s="2">
        <v>2838.27</v>
      </c>
      <c r="J555" t="s">
        <v>27</v>
      </c>
      <c r="K555">
        <v>0.25</v>
      </c>
      <c r="L555" t="s">
        <v>28</v>
      </c>
      <c r="M555" t="s">
        <v>22</v>
      </c>
      <c r="N555" t="s">
        <v>41</v>
      </c>
      <c r="O555" s="2">
        <f>_Salesdata[[#This Row],[Unit_Price]] * _Salesdata[[#This Row],[Quantity_Sold]]</f>
        <v>136236.96</v>
      </c>
      <c r="P555" s="2">
        <f>_Salesdata[[#This Row],[Unit_Cost]] * _Salesdata[[#This Row],[Quantity_Sold]]</f>
        <v>127627.20000000001</v>
      </c>
      <c r="Q555" s="2">
        <f>_Salesdata[[#This Row],[Gross_Sales]] - _Salesdata[[#This Row],[Total Cost]]</f>
        <v>8609.7599999999802</v>
      </c>
      <c r="R555" s="2"/>
    </row>
    <row r="556" spans="1:18" x14ac:dyDescent="0.25">
      <c r="A556">
        <v>1090</v>
      </c>
      <c r="B556" s="1">
        <v>45250</v>
      </c>
      <c r="C556" t="s">
        <v>24</v>
      </c>
      <c r="D556" t="s">
        <v>25</v>
      </c>
      <c r="E556" s="2">
        <v>267.77999999999997</v>
      </c>
      <c r="F556">
        <v>32</v>
      </c>
      <c r="G556" t="s">
        <v>26</v>
      </c>
      <c r="H556" s="2">
        <v>2678.99</v>
      </c>
      <c r="I556" s="2">
        <v>3152.2799999999902</v>
      </c>
      <c r="J556" t="s">
        <v>20</v>
      </c>
      <c r="K556">
        <v>0.22</v>
      </c>
      <c r="L556" t="s">
        <v>21</v>
      </c>
      <c r="M556" t="s">
        <v>32</v>
      </c>
      <c r="N556" t="s">
        <v>29</v>
      </c>
      <c r="O556" s="2">
        <f>_Salesdata[[#This Row],[Unit_Price]] * _Salesdata[[#This Row],[Quantity_Sold]]</f>
        <v>100872.95999999969</v>
      </c>
      <c r="P556" s="2">
        <f>_Salesdata[[#This Row],[Unit_Cost]] * _Salesdata[[#This Row],[Quantity_Sold]]</f>
        <v>85727.679999999993</v>
      </c>
      <c r="Q556" s="2">
        <f>_Salesdata[[#This Row],[Gross_Sales]] - _Salesdata[[#This Row],[Total Cost]]</f>
        <v>15145.279999999693</v>
      </c>
      <c r="R556" s="2"/>
    </row>
    <row r="557" spans="1:18" x14ac:dyDescent="0.25">
      <c r="A557">
        <v>1015</v>
      </c>
      <c r="B557" s="1">
        <v>45049</v>
      </c>
      <c r="C557" t="s">
        <v>30</v>
      </c>
      <c r="D557" t="s">
        <v>40</v>
      </c>
      <c r="E557" s="2">
        <v>6699.34</v>
      </c>
      <c r="F557">
        <v>30</v>
      </c>
      <c r="G557" t="s">
        <v>31</v>
      </c>
      <c r="H557" s="2">
        <v>2680.22</v>
      </c>
      <c r="I557" s="2">
        <v>3027.9199999999901</v>
      </c>
      <c r="J557" t="s">
        <v>20</v>
      </c>
      <c r="K557">
        <v>0.25</v>
      </c>
      <c r="L557" t="s">
        <v>44</v>
      </c>
      <c r="M557" t="s">
        <v>22</v>
      </c>
      <c r="N557" t="s">
        <v>41</v>
      </c>
      <c r="O557" s="2">
        <f>_Salesdata[[#This Row],[Unit_Price]] * _Salesdata[[#This Row],[Quantity_Sold]]</f>
        <v>90837.5999999997</v>
      </c>
      <c r="P557" s="2">
        <f>_Salesdata[[#This Row],[Unit_Cost]] * _Salesdata[[#This Row],[Quantity_Sold]]</f>
        <v>80406.599999999991</v>
      </c>
      <c r="Q557" s="2">
        <f>_Salesdata[[#This Row],[Gross_Sales]] - _Salesdata[[#This Row],[Total Cost]]</f>
        <v>10430.999999999709</v>
      </c>
      <c r="R557" s="2"/>
    </row>
    <row r="558" spans="1:18" x14ac:dyDescent="0.25">
      <c r="A558">
        <v>1061</v>
      </c>
      <c r="B558" s="1">
        <v>45007</v>
      </c>
      <c r="C558" t="s">
        <v>24</v>
      </c>
      <c r="D558" t="s">
        <v>18</v>
      </c>
      <c r="E558" s="2">
        <v>8915.0499999999993</v>
      </c>
      <c r="F558">
        <v>34</v>
      </c>
      <c r="G558" t="s">
        <v>19</v>
      </c>
      <c r="H558" s="2">
        <v>2680.82</v>
      </c>
      <c r="I558" s="2">
        <v>2771.02</v>
      </c>
      <c r="J558" t="s">
        <v>27</v>
      </c>
      <c r="K558">
        <v>0.2</v>
      </c>
      <c r="L558" t="s">
        <v>44</v>
      </c>
      <c r="M558" t="s">
        <v>22</v>
      </c>
      <c r="N558" t="s">
        <v>46</v>
      </c>
      <c r="O558" s="2">
        <f>_Salesdata[[#This Row],[Unit_Price]] * _Salesdata[[#This Row],[Quantity_Sold]]</f>
        <v>94214.68</v>
      </c>
      <c r="P558" s="2">
        <f>_Salesdata[[#This Row],[Unit_Cost]] * _Salesdata[[#This Row],[Quantity_Sold]]</f>
        <v>91147.88</v>
      </c>
      <c r="Q558" s="2">
        <f>_Salesdata[[#This Row],[Gross_Sales]] - _Salesdata[[#This Row],[Total Cost]]</f>
        <v>3066.7999999999884</v>
      </c>
      <c r="R558" s="2"/>
    </row>
    <row r="559" spans="1:18" x14ac:dyDescent="0.25">
      <c r="A559">
        <v>1092</v>
      </c>
      <c r="B559" s="1">
        <v>44955</v>
      </c>
      <c r="C559" t="s">
        <v>17</v>
      </c>
      <c r="D559" t="s">
        <v>40</v>
      </c>
      <c r="E559" s="2">
        <v>8936.33</v>
      </c>
      <c r="F559">
        <v>13</v>
      </c>
      <c r="G559" t="s">
        <v>19</v>
      </c>
      <c r="H559" s="2">
        <v>2684.5</v>
      </c>
      <c r="I559" s="2">
        <v>2913.78</v>
      </c>
      <c r="J559" t="s">
        <v>27</v>
      </c>
      <c r="K559">
        <v>0.08</v>
      </c>
      <c r="L559" t="s">
        <v>28</v>
      </c>
      <c r="M559" t="s">
        <v>32</v>
      </c>
      <c r="N559" t="s">
        <v>42</v>
      </c>
      <c r="O559" s="2">
        <f>_Salesdata[[#This Row],[Unit_Price]] * _Salesdata[[#This Row],[Quantity_Sold]]</f>
        <v>37879.14</v>
      </c>
      <c r="P559" s="2">
        <f>_Salesdata[[#This Row],[Unit_Cost]] * _Salesdata[[#This Row],[Quantity_Sold]]</f>
        <v>34898.5</v>
      </c>
      <c r="Q559" s="2">
        <f>_Salesdata[[#This Row],[Gross_Sales]] - _Salesdata[[#This Row],[Total Cost]]</f>
        <v>2980.6399999999994</v>
      </c>
      <c r="R559" s="2"/>
    </row>
    <row r="560" spans="1:18" x14ac:dyDescent="0.25">
      <c r="A560">
        <v>1008</v>
      </c>
      <c r="B560" s="1">
        <v>45165</v>
      </c>
      <c r="C560" t="s">
        <v>30</v>
      </c>
      <c r="D560" t="s">
        <v>40</v>
      </c>
      <c r="E560" s="2">
        <v>4432.8500000000004</v>
      </c>
      <c r="F560">
        <v>40</v>
      </c>
      <c r="G560" t="s">
        <v>19</v>
      </c>
      <c r="H560" s="2">
        <v>2687.49</v>
      </c>
      <c r="I560" s="2">
        <v>3001.56</v>
      </c>
      <c r="J560" t="s">
        <v>20</v>
      </c>
      <c r="K560">
        <v>0.26</v>
      </c>
      <c r="L560" t="s">
        <v>44</v>
      </c>
      <c r="M560" t="s">
        <v>22</v>
      </c>
      <c r="N560" t="s">
        <v>41</v>
      </c>
      <c r="O560" s="2">
        <f>_Salesdata[[#This Row],[Unit_Price]] * _Salesdata[[#This Row],[Quantity_Sold]]</f>
        <v>120062.39999999999</v>
      </c>
      <c r="P560" s="2">
        <f>_Salesdata[[#This Row],[Unit_Cost]] * _Salesdata[[#This Row],[Quantity_Sold]]</f>
        <v>107499.59999999999</v>
      </c>
      <c r="Q560" s="2">
        <f>_Salesdata[[#This Row],[Gross_Sales]] - _Salesdata[[#This Row],[Total Cost]]</f>
        <v>12562.800000000003</v>
      </c>
      <c r="R560" s="2"/>
    </row>
    <row r="561" spans="1:18" x14ac:dyDescent="0.25">
      <c r="A561">
        <v>1024</v>
      </c>
      <c r="B561" s="1">
        <v>44940</v>
      </c>
      <c r="C561" t="s">
        <v>17</v>
      </c>
      <c r="D561" t="s">
        <v>40</v>
      </c>
      <c r="E561" s="2">
        <v>3334.75</v>
      </c>
      <c r="F561">
        <v>45</v>
      </c>
      <c r="G561" t="s">
        <v>19</v>
      </c>
      <c r="H561" s="2">
        <v>2693.99</v>
      </c>
      <c r="I561" s="2">
        <v>3045.9399999999901</v>
      </c>
      <c r="J561" t="s">
        <v>27</v>
      </c>
      <c r="K561">
        <v>0.01</v>
      </c>
      <c r="L561" t="s">
        <v>21</v>
      </c>
      <c r="M561" t="s">
        <v>32</v>
      </c>
      <c r="N561" t="s">
        <v>42</v>
      </c>
      <c r="O561" s="2">
        <f>_Salesdata[[#This Row],[Unit_Price]] * _Salesdata[[#This Row],[Quantity_Sold]]</f>
        <v>137067.29999999955</v>
      </c>
      <c r="P561" s="2">
        <f>_Salesdata[[#This Row],[Unit_Cost]] * _Salesdata[[#This Row],[Quantity_Sold]]</f>
        <v>121229.54999999999</v>
      </c>
      <c r="Q561" s="2">
        <f>_Salesdata[[#This Row],[Gross_Sales]] - _Salesdata[[#This Row],[Total Cost]]</f>
        <v>15837.749999999563</v>
      </c>
      <c r="R561" s="2"/>
    </row>
    <row r="562" spans="1:18" x14ac:dyDescent="0.25">
      <c r="A562">
        <v>1071</v>
      </c>
      <c r="B562" s="1">
        <v>45229</v>
      </c>
      <c r="C562" t="s">
        <v>24</v>
      </c>
      <c r="D562" t="s">
        <v>25</v>
      </c>
      <c r="E562" s="2">
        <v>189.48</v>
      </c>
      <c r="F562">
        <v>22</v>
      </c>
      <c r="G562" t="s">
        <v>26</v>
      </c>
      <c r="H562" s="2">
        <v>2701.39</v>
      </c>
      <c r="I562" s="2">
        <v>3185.81</v>
      </c>
      <c r="J562" t="s">
        <v>27</v>
      </c>
      <c r="K562">
        <v>0.01</v>
      </c>
      <c r="L562" t="s">
        <v>44</v>
      </c>
      <c r="M562" t="s">
        <v>22</v>
      </c>
      <c r="N562" t="s">
        <v>29</v>
      </c>
      <c r="O562" s="2">
        <f>_Salesdata[[#This Row],[Unit_Price]] * _Salesdata[[#This Row],[Quantity_Sold]]</f>
        <v>70087.819999999992</v>
      </c>
      <c r="P562" s="2">
        <f>_Salesdata[[#This Row],[Unit_Cost]] * _Salesdata[[#This Row],[Quantity_Sold]]</f>
        <v>59430.579999999994</v>
      </c>
      <c r="Q562" s="2">
        <f>_Salesdata[[#This Row],[Gross_Sales]] - _Salesdata[[#This Row],[Total Cost]]</f>
        <v>10657.239999999998</v>
      </c>
      <c r="R562" s="2"/>
    </row>
    <row r="563" spans="1:18" x14ac:dyDescent="0.25">
      <c r="A563">
        <v>1058</v>
      </c>
      <c r="B563" s="1">
        <v>45119</v>
      </c>
      <c r="C563" t="s">
        <v>48</v>
      </c>
      <c r="D563" t="s">
        <v>18</v>
      </c>
      <c r="E563" s="2">
        <v>9580.0499999999993</v>
      </c>
      <c r="F563">
        <v>14</v>
      </c>
      <c r="G563" t="s">
        <v>26</v>
      </c>
      <c r="H563" s="2">
        <v>2703.97</v>
      </c>
      <c r="I563" s="2">
        <v>2796.8799999999901</v>
      </c>
      <c r="J563" t="s">
        <v>27</v>
      </c>
      <c r="K563">
        <v>0.13</v>
      </c>
      <c r="L563" t="s">
        <v>44</v>
      </c>
      <c r="M563" t="s">
        <v>22</v>
      </c>
      <c r="N563" t="s">
        <v>54</v>
      </c>
      <c r="O563" s="2">
        <f>_Salesdata[[#This Row],[Unit_Price]] * _Salesdata[[#This Row],[Quantity_Sold]]</f>
        <v>39156.319999999861</v>
      </c>
      <c r="P563" s="2">
        <f>_Salesdata[[#This Row],[Unit_Cost]] * _Salesdata[[#This Row],[Quantity_Sold]]</f>
        <v>37855.579999999994</v>
      </c>
      <c r="Q563" s="2">
        <f>_Salesdata[[#This Row],[Gross_Sales]] - _Salesdata[[#This Row],[Total Cost]]</f>
        <v>1300.739999999867</v>
      </c>
      <c r="R563" s="2"/>
    </row>
    <row r="564" spans="1:18" x14ac:dyDescent="0.25">
      <c r="A564">
        <v>1038</v>
      </c>
      <c r="B564" s="1">
        <v>45214</v>
      </c>
      <c r="C564" t="s">
        <v>30</v>
      </c>
      <c r="D564" t="s">
        <v>25</v>
      </c>
      <c r="E564" s="2">
        <v>8020.03</v>
      </c>
      <c r="F564">
        <v>31</v>
      </c>
      <c r="G564" t="s">
        <v>19</v>
      </c>
      <c r="H564" s="2">
        <v>2709.84</v>
      </c>
      <c r="I564" s="2">
        <v>2766.51</v>
      </c>
      <c r="J564" t="s">
        <v>27</v>
      </c>
      <c r="K564">
        <v>0.19</v>
      </c>
      <c r="L564" t="s">
        <v>21</v>
      </c>
      <c r="M564" t="s">
        <v>32</v>
      </c>
      <c r="N564" t="s">
        <v>45</v>
      </c>
      <c r="O564" s="2">
        <f>_Salesdata[[#This Row],[Unit_Price]] * _Salesdata[[#This Row],[Quantity_Sold]]</f>
        <v>85761.810000000012</v>
      </c>
      <c r="P564" s="2">
        <f>_Salesdata[[#This Row],[Unit_Cost]] * _Salesdata[[#This Row],[Quantity_Sold]]</f>
        <v>84005.040000000008</v>
      </c>
      <c r="Q564" s="2">
        <f>_Salesdata[[#This Row],[Gross_Sales]] - _Salesdata[[#This Row],[Total Cost]]</f>
        <v>1756.7700000000041</v>
      </c>
      <c r="R564" s="2"/>
    </row>
    <row r="565" spans="1:18" x14ac:dyDescent="0.25">
      <c r="A565">
        <v>1029</v>
      </c>
      <c r="B565" s="1">
        <v>44943</v>
      </c>
      <c r="C565" t="s">
        <v>35</v>
      </c>
      <c r="D565" t="s">
        <v>37</v>
      </c>
      <c r="E565" s="2">
        <v>6275.06</v>
      </c>
      <c r="F565">
        <v>31</v>
      </c>
      <c r="G565" t="s">
        <v>26</v>
      </c>
      <c r="H565" s="2">
        <v>2719</v>
      </c>
      <c r="I565" s="2">
        <v>3133.55</v>
      </c>
      <c r="J565" t="s">
        <v>20</v>
      </c>
      <c r="K565">
        <v>0.17</v>
      </c>
      <c r="L565" t="s">
        <v>44</v>
      </c>
      <c r="M565" t="s">
        <v>32</v>
      </c>
      <c r="N565" t="s">
        <v>38</v>
      </c>
      <c r="O565" s="2">
        <f>_Salesdata[[#This Row],[Unit_Price]] * _Salesdata[[#This Row],[Quantity_Sold]]</f>
        <v>97140.05</v>
      </c>
      <c r="P565" s="2">
        <f>_Salesdata[[#This Row],[Unit_Cost]] * _Salesdata[[#This Row],[Quantity_Sold]]</f>
        <v>84289</v>
      </c>
      <c r="Q565" s="2">
        <f>_Salesdata[[#This Row],[Gross_Sales]] - _Salesdata[[#This Row],[Total Cost]]</f>
        <v>12851.050000000003</v>
      </c>
      <c r="R565" s="2"/>
    </row>
    <row r="566" spans="1:18" x14ac:dyDescent="0.25">
      <c r="A566">
        <v>1034</v>
      </c>
      <c r="B566" s="1">
        <v>44953</v>
      </c>
      <c r="C566" t="s">
        <v>17</v>
      </c>
      <c r="D566" t="s">
        <v>18</v>
      </c>
      <c r="E566" s="2">
        <v>414.26</v>
      </c>
      <c r="F566">
        <v>38</v>
      </c>
      <c r="G566" t="s">
        <v>31</v>
      </c>
      <c r="H566" s="2">
        <v>2729.75</v>
      </c>
      <c r="I566" s="2">
        <v>3081.5</v>
      </c>
      <c r="J566" t="s">
        <v>27</v>
      </c>
      <c r="K566">
        <v>0.01</v>
      </c>
      <c r="L566" t="s">
        <v>44</v>
      </c>
      <c r="M566" t="s">
        <v>22</v>
      </c>
      <c r="N566" t="s">
        <v>23</v>
      </c>
      <c r="O566" s="2">
        <f>_Salesdata[[#This Row],[Unit_Price]] * _Salesdata[[#This Row],[Quantity_Sold]]</f>
        <v>117097</v>
      </c>
      <c r="P566" s="2">
        <f>_Salesdata[[#This Row],[Unit_Cost]] * _Salesdata[[#This Row],[Quantity_Sold]]</f>
        <v>103730.5</v>
      </c>
      <c r="Q566" s="2">
        <f>_Salesdata[[#This Row],[Gross_Sales]] - _Salesdata[[#This Row],[Total Cost]]</f>
        <v>13366.5</v>
      </c>
      <c r="R566" s="2"/>
    </row>
    <row r="567" spans="1:18" x14ac:dyDescent="0.25">
      <c r="A567">
        <v>1039</v>
      </c>
      <c r="B567" s="1">
        <v>45001</v>
      </c>
      <c r="C567" t="s">
        <v>48</v>
      </c>
      <c r="D567" t="s">
        <v>37</v>
      </c>
      <c r="E567" s="2">
        <v>6076.01</v>
      </c>
      <c r="F567">
        <v>35</v>
      </c>
      <c r="G567" t="s">
        <v>39</v>
      </c>
      <c r="H567" s="2">
        <v>2735.74</v>
      </c>
      <c r="I567" s="2">
        <v>3181.22999999999</v>
      </c>
      <c r="J567" t="s">
        <v>27</v>
      </c>
      <c r="K567">
        <v>0.1</v>
      </c>
      <c r="L567" t="s">
        <v>28</v>
      </c>
      <c r="M567" t="s">
        <v>32</v>
      </c>
      <c r="N567" t="s">
        <v>52</v>
      </c>
      <c r="O567" s="2">
        <f>_Salesdata[[#This Row],[Unit_Price]] * _Salesdata[[#This Row],[Quantity_Sold]]</f>
        <v>111343.04999999965</v>
      </c>
      <c r="P567" s="2">
        <f>_Salesdata[[#This Row],[Unit_Cost]] * _Salesdata[[#This Row],[Quantity_Sold]]</f>
        <v>95750.9</v>
      </c>
      <c r="Q567" s="2">
        <f>_Salesdata[[#This Row],[Gross_Sales]] - _Salesdata[[#This Row],[Total Cost]]</f>
        <v>15592.149999999659</v>
      </c>
      <c r="R567" s="2"/>
    </row>
    <row r="568" spans="1:18" x14ac:dyDescent="0.25">
      <c r="A568">
        <v>1080</v>
      </c>
      <c r="B568" s="1">
        <v>45162</v>
      </c>
      <c r="C568" t="s">
        <v>17</v>
      </c>
      <c r="D568" t="s">
        <v>25</v>
      </c>
      <c r="E568" s="2">
        <v>1493.95</v>
      </c>
      <c r="F568">
        <v>17</v>
      </c>
      <c r="G568" t="s">
        <v>39</v>
      </c>
      <c r="H568" s="2">
        <v>2742.67</v>
      </c>
      <c r="I568" s="2">
        <v>2979.64</v>
      </c>
      <c r="J568" t="s">
        <v>20</v>
      </c>
      <c r="K568">
        <v>0.01</v>
      </c>
      <c r="L568" t="s">
        <v>21</v>
      </c>
      <c r="M568" t="s">
        <v>32</v>
      </c>
      <c r="N568" t="s">
        <v>34</v>
      </c>
      <c r="O568" s="2">
        <f>_Salesdata[[#This Row],[Unit_Price]] * _Salesdata[[#This Row],[Quantity_Sold]]</f>
        <v>50653.88</v>
      </c>
      <c r="P568" s="2">
        <f>_Salesdata[[#This Row],[Unit_Cost]] * _Salesdata[[#This Row],[Quantity_Sold]]</f>
        <v>46625.39</v>
      </c>
      <c r="Q568" s="2">
        <f>_Salesdata[[#This Row],[Gross_Sales]] - _Salesdata[[#This Row],[Total Cost]]</f>
        <v>4028.489999999998</v>
      </c>
      <c r="R568" s="2"/>
    </row>
    <row r="569" spans="1:18" x14ac:dyDescent="0.25">
      <c r="A569">
        <v>1001</v>
      </c>
      <c r="B569" s="1">
        <v>45060</v>
      </c>
      <c r="C569" t="s">
        <v>48</v>
      </c>
      <c r="D569" t="s">
        <v>40</v>
      </c>
      <c r="E569" s="2">
        <v>2669.46</v>
      </c>
      <c r="F569">
        <v>35</v>
      </c>
      <c r="G569" t="s">
        <v>26</v>
      </c>
      <c r="H569" s="2">
        <v>2745.75</v>
      </c>
      <c r="I569" s="2">
        <v>3244.76</v>
      </c>
      <c r="J569" t="s">
        <v>27</v>
      </c>
      <c r="K569">
        <v>0.05</v>
      </c>
      <c r="L569" t="s">
        <v>44</v>
      </c>
      <c r="M569" t="s">
        <v>22</v>
      </c>
      <c r="N569" t="s">
        <v>50</v>
      </c>
      <c r="O569" s="2">
        <f>_Salesdata[[#This Row],[Unit_Price]] * _Salesdata[[#This Row],[Quantity_Sold]]</f>
        <v>113566.6</v>
      </c>
      <c r="P569" s="2">
        <f>_Salesdata[[#This Row],[Unit_Cost]] * _Salesdata[[#This Row],[Quantity_Sold]]</f>
        <v>96101.25</v>
      </c>
      <c r="Q569" s="2">
        <f>_Salesdata[[#This Row],[Gross_Sales]] - _Salesdata[[#This Row],[Total Cost]]</f>
        <v>17465.350000000006</v>
      </c>
      <c r="R569" s="2"/>
    </row>
    <row r="570" spans="1:18" x14ac:dyDescent="0.25">
      <c r="A570">
        <v>1061</v>
      </c>
      <c r="B570" s="1">
        <v>45190</v>
      </c>
      <c r="C570" t="s">
        <v>35</v>
      </c>
      <c r="D570" t="s">
        <v>40</v>
      </c>
      <c r="E570" s="2">
        <v>9895.57</v>
      </c>
      <c r="F570">
        <v>25</v>
      </c>
      <c r="G570" t="s">
        <v>31</v>
      </c>
      <c r="H570" s="2">
        <v>2747.66</v>
      </c>
      <c r="I570" s="2">
        <v>3027.0099999999902</v>
      </c>
      <c r="J570" t="s">
        <v>27</v>
      </c>
      <c r="K570">
        <v>0.23</v>
      </c>
      <c r="L570" t="s">
        <v>21</v>
      </c>
      <c r="M570" t="s">
        <v>22</v>
      </c>
      <c r="N570" t="s">
        <v>43</v>
      </c>
      <c r="O570" s="2">
        <f>_Salesdata[[#This Row],[Unit_Price]] * _Salesdata[[#This Row],[Quantity_Sold]]</f>
        <v>75675.249999999753</v>
      </c>
      <c r="P570" s="2">
        <f>_Salesdata[[#This Row],[Unit_Cost]] * _Salesdata[[#This Row],[Quantity_Sold]]</f>
        <v>68691.5</v>
      </c>
      <c r="Q570" s="2">
        <f>_Salesdata[[#This Row],[Gross_Sales]] - _Salesdata[[#This Row],[Total Cost]]</f>
        <v>6983.7499999997526</v>
      </c>
      <c r="R570" s="2"/>
    </row>
    <row r="571" spans="1:18" x14ac:dyDescent="0.25">
      <c r="A571">
        <v>1040</v>
      </c>
      <c r="B571" s="1">
        <v>44995</v>
      </c>
      <c r="C571" t="s">
        <v>35</v>
      </c>
      <c r="D571" t="s">
        <v>18</v>
      </c>
      <c r="E571" s="2">
        <v>2331.27</v>
      </c>
      <c r="F571">
        <v>13</v>
      </c>
      <c r="G571" t="s">
        <v>19</v>
      </c>
      <c r="H571" s="2">
        <v>2750.18</v>
      </c>
      <c r="I571" s="2">
        <v>2882.85</v>
      </c>
      <c r="J571" t="s">
        <v>20</v>
      </c>
      <c r="K571">
        <v>0.24</v>
      </c>
      <c r="L571" t="s">
        <v>28</v>
      </c>
      <c r="M571" t="s">
        <v>22</v>
      </c>
      <c r="N571" t="s">
        <v>36</v>
      </c>
      <c r="O571" s="2">
        <f>_Salesdata[[#This Row],[Unit_Price]] * _Salesdata[[#This Row],[Quantity_Sold]]</f>
        <v>37477.049999999996</v>
      </c>
      <c r="P571" s="2">
        <f>_Salesdata[[#This Row],[Unit_Cost]] * _Salesdata[[#This Row],[Quantity_Sold]]</f>
        <v>35752.339999999997</v>
      </c>
      <c r="Q571" s="2">
        <f>_Salesdata[[#This Row],[Gross_Sales]] - _Salesdata[[#This Row],[Total Cost]]</f>
        <v>1724.7099999999991</v>
      </c>
      <c r="R571" s="2"/>
    </row>
    <row r="572" spans="1:18" x14ac:dyDescent="0.25">
      <c r="A572">
        <v>1025</v>
      </c>
      <c r="B572" s="1">
        <v>45016</v>
      </c>
      <c r="C572" t="s">
        <v>30</v>
      </c>
      <c r="D572" t="s">
        <v>25</v>
      </c>
      <c r="E572" s="2">
        <v>4929.5600000000004</v>
      </c>
      <c r="F572">
        <v>4</v>
      </c>
      <c r="G572" t="s">
        <v>39</v>
      </c>
      <c r="H572" s="2">
        <v>2751.06</v>
      </c>
      <c r="I572" s="2">
        <v>2976.0099999999902</v>
      </c>
      <c r="J572" t="s">
        <v>20</v>
      </c>
      <c r="K572">
        <v>0.28000000000000003</v>
      </c>
      <c r="L572" t="s">
        <v>28</v>
      </c>
      <c r="M572" t="s">
        <v>22</v>
      </c>
      <c r="N572" t="s">
        <v>45</v>
      </c>
      <c r="O572" s="2">
        <f>_Salesdata[[#This Row],[Unit_Price]] * _Salesdata[[#This Row],[Quantity_Sold]]</f>
        <v>11904.039999999961</v>
      </c>
      <c r="P572" s="2">
        <f>_Salesdata[[#This Row],[Unit_Cost]] * _Salesdata[[#This Row],[Quantity_Sold]]</f>
        <v>11004.24</v>
      </c>
      <c r="Q572" s="2">
        <f>_Salesdata[[#This Row],[Gross_Sales]] - _Salesdata[[#This Row],[Total Cost]]</f>
        <v>899.79999999996107</v>
      </c>
      <c r="R572" s="2"/>
    </row>
    <row r="573" spans="1:18" x14ac:dyDescent="0.25">
      <c r="A573">
        <v>1013</v>
      </c>
      <c r="B573" s="1">
        <v>44982</v>
      </c>
      <c r="C573" t="s">
        <v>48</v>
      </c>
      <c r="D573" t="s">
        <v>18</v>
      </c>
      <c r="E573" s="2">
        <v>4791.82</v>
      </c>
      <c r="F573">
        <v>31</v>
      </c>
      <c r="G573" t="s">
        <v>31</v>
      </c>
      <c r="H573" s="2">
        <v>2757.06</v>
      </c>
      <c r="I573" s="2">
        <v>3023.97</v>
      </c>
      <c r="J573" t="s">
        <v>20</v>
      </c>
      <c r="K573">
        <v>0.21</v>
      </c>
      <c r="L573" t="s">
        <v>21</v>
      </c>
      <c r="M573" t="s">
        <v>22</v>
      </c>
      <c r="N573" t="s">
        <v>54</v>
      </c>
      <c r="O573" s="2">
        <f>_Salesdata[[#This Row],[Unit_Price]] * _Salesdata[[#This Row],[Quantity_Sold]]</f>
        <v>93743.069999999992</v>
      </c>
      <c r="P573" s="2">
        <f>_Salesdata[[#This Row],[Unit_Cost]] * _Salesdata[[#This Row],[Quantity_Sold]]</f>
        <v>85468.86</v>
      </c>
      <c r="Q573" s="2">
        <f>_Salesdata[[#This Row],[Gross_Sales]] - _Salesdata[[#This Row],[Total Cost]]</f>
        <v>8274.2099999999919</v>
      </c>
      <c r="R573" s="2"/>
    </row>
    <row r="574" spans="1:18" x14ac:dyDescent="0.25">
      <c r="A574">
        <v>1076</v>
      </c>
      <c r="B574" s="1">
        <v>45007</v>
      </c>
      <c r="C574" t="s">
        <v>35</v>
      </c>
      <c r="D574" t="s">
        <v>40</v>
      </c>
      <c r="E574" s="2">
        <v>316.94</v>
      </c>
      <c r="F574">
        <v>23</v>
      </c>
      <c r="G574" t="s">
        <v>31</v>
      </c>
      <c r="H574" s="2">
        <v>2759.16</v>
      </c>
      <c r="I574" s="2">
        <v>2864.45</v>
      </c>
      <c r="J574" t="s">
        <v>20</v>
      </c>
      <c r="K574">
        <v>0.18</v>
      </c>
      <c r="L574" t="s">
        <v>28</v>
      </c>
      <c r="M574" t="s">
        <v>32</v>
      </c>
      <c r="N574" t="s">
        <v>43</v>
      </c>
      <c r="O574" s="2">
        <f>_Salesdata[[#This Row],[Unit_Price]] * _Salesdata[[#This Row],[Quantity_Sold]]</f>
        <v>65882.349999999991</v>
      </c>
      <c r="P574" s="2">
        <f>_Salesdata[[#This Row],[Unit_Cost]] * _Salesdata[[#This Row],[Quantity_Sold]]</f>
        <v>63460.679999999993</v>
      </c>
      <c r="Q574" s="2">
        <f>_Salesdata[[#This Row],[Gross_Sales]] - _Salesdata[[#This Row],[Total Cost]]</f>
        <v>2421.6699999999983</v>
      </c>
      <c r="R574" s="2"/>
    </row>
    <row r="575" spans="1:18" x14ac:dyDescent="0.25">
      <c r="A575">
        <v>1061</v>
      </c>
      <c r="B575" s="1">
        <v>45275</v>
      </c>
      <c r="C575" t="s">
        <v>24</v>
      </c>
      <c r="D575" t="s">
        <v>37</v>
      </c>
      <c r="E575" s="2">
        <v>3867.13</v>
      </c>
      <c r="F575">
        <v>32</v>
      </c>
      <c r="G575" t="s">
        <v>31</v>
      </c>
      <c r="H575" s="2">
        <v>2759.26</v>
      </c>
      <c r="I575" s="2">
        <v>3193.25</v>
      </c>
      <c r="J575" t="s">
        <v>27</v>
      </c>
      <c r="K575">
        <v>0.2</v>
      </c>
      <c r="L575" t="s">
        <v>44</v>
      </c>
      <c r="M575" t="s">
        <v>22</v>
      </c>
      <c r="N575" t="s">
        <v>53</v>
      </c>
      <c r="O575" s="2">
        <f>_Salesdata[[#This Row],[Unit_Price]] * _Salesdata[[#This Row],[Quantity_Sold]]</f>
        <v>102184</v>
      </c>
      <c r="P575" s="2">
        <f>_Salesdata[[#This Row],[Unit_Cost]] * _Salesdata[[#This Row],[Quantity_Sold]]</f>
        <v>88296.320000000007</v>
      </c>
      <c r="Q575" s="2">
        <f>_Salesdata[[#This Row],[Gross_Sales]] - _Salesdata[[#This Row],[Total Cost]]</f>
        <v>13887.679999999993</v>
      </c>
      <c r="R575" s="2"/>
    </row>
    <row r="576" spans="1:18" x14ac:dyDescent="0.25">
      <c r="A576">
        <v>1069</v>
      </c>
      <c r="B576" s="1">
        <v>44958</v>
      </c>
      <c r="C576" t="s">
        <v>48</v>
      </c>
      <c r="D576" t="s">
        <v>37</v>
      </c>
      <c r="E576" s="2">
        <v>2726.73</v>
      </c>
      <c r="F576">
        <v>18</v>
      </c>
      <c r="G576" t="s">
        <v>39</v>
      </c>
      <c r="H576" s="2">
        <v>2760.21</v>
      </c>
      <c r="I576" s="2">
        <v>3219.58</v>
      </c>
      <c r="J576" t="s">
        <v>27</v>
      </c>
      <c r="K576">
        <v>0.27</v>
      </c>
      <c r="L576" t="s">
        <v>44</v>
      </c>
      <c r="M576" t="s">
        <v>32</v>
      </c>
      <c r="N576" t="s">
        <v>52</v>
      </c>
      <c r="O576" s="2">
        <f>_Salesdata[[#This Row],[Unit_Price]] * _Salesdata[[#This Row],[Quantity_Sold]]</f>
        <v>57952.44</v>
      </c>
      <c r="P576" s="2">
        <f>_Salesdata[[#This Row],[Unit_Cost]] * _Salesdata[[#This Row],[Quantity_Sold]]</f>
        <v>49683.78</v>
      </c>
      <c r="Q576" s="2">
        <f>_Salesdata[[#This Row],[Gross_Sales]] - _Salesdata[[#This Row],[Total Cost]]</f>
        <v>8268.6600000000035</v>
      </c>
      <c r="R576" s="2"/>
    </row>
    <row r="577" spans="1:18" x14ac:dyDescent="0.25">
      <c r="A577">
        <v>1096</v>
      </c>
      <c r="B577" s="1">
        <v>45231</v>
      </c>
      <c r="C577" t="s">
        <v>17</v>
      </c>
      <c r="D577" t="s">
        <v>40</v>
      </c>
      <c r="E577" s="2">
        <v>8718.2199999999993</v>
      </c>
      <c r="F577">
        <v>17</v>
      </c>
      <c r="G577" t="s">
        <v>31</v>
      </c>
      <c r="H577" s="2">
        <v>2774.24</v>
      </c>
      <c r="I577" s="2">
        <v>3069.9399999999901</v>
      </c>
      <c r="J577" t="s">
        <v>20</v>
      </c>
      <c r="K577">
        <v>0.23</v>
      </c>
      <c r="L577" t="s">
        <v>44</v>
      </c>
      <c r="M577" t="s">
        <v>32</v>
      </c>
      <c r="N577" t="s">
        <v>42</v>
      </c>
      <c r="O577" s="2">
        <f>_Salesdata[[#This Row],[Unit_Price]] * _Salesdata[[#This Row],[Quantity_Sold]]</f>
        <v>52188.979999999829</v>
      </c>
      <c r="P577" s="2">
        <f>_Salesdata[[#This Row],[Unit_Cost]] * _Salesdata[[#This Row],[Quantity_Sold]]</f>
        <v>47162.079999999994</v>
      </c>
      <c r="Q577" s="2">
        <f>_Salesdata[[#This Row],[Gross_Sales]] - _Salesdata[[#This Row],[Total Cost]]</f>
        <v>5026.8999999998341</v>
      </c>
      <c r="R577" s="2"/>
    </row>
    <row r="578" spans="1:18" x14ac:dyDescent="0.25">
      <c r="A578">
        <v>1081</v>
      </c>
      <c r="B578" s="1">
        <v>44964</v>
      </c>
      <c r="C578" t="s">
        <v>30</v>
      </c>
      <c r="D578" t="s">
        <v>18</v>
      </c>
      <c r="E578" s="2">
        <v>3068.03</v>
      </c>
      <c r="F578">
        <v>41</v>
      </c>
      <c r="G578" t="s">
        <v>39</v>
      </c>
      <c r="H578" s="2">
        <v>2782.08</v>
      </c>
      <c r="I578" s="2">
        <v>2879.24</v>
      </c>
      <c r="J578" t="s">
        <v>27</v>
      </c>
      <c r="K578">
        <v>0.21</v>
      </c>
      <c r="L578" t="s">
        <v>44</v>
      </c>
      <c r="M578" t="s">
        <v>22</v>
      </c>
      <c r="N578" t="s">
        <v>33</v>
      </c>
      <c r="O578" s="2">
        <f>_Salesdata[[#This Row],[Unit_Price]] * _Salesdata[[#This Row],[Quantity_Sold]]</f>
        <v>118048.84</v>
      </c>
      <c r="P578" s="2">
        <f>_Salesdata[[#This Row],[Unit_Cost]] * _Salesdata[[#This Row],[Quantity_Sold]]</f>
        <v>114065.28</v>
      </c>
      <c r="Q578" s="2">
        <f>_Salesdata[[#This Row],[Gross_Sales]] - _Salesdata[[#This Row],[Total Cost]]</f>
        <v>3983.5599999999977</v>
      </c>
      <c r="R578" s="2"/>
    </row>
    <row r="579" spans="1:18" x14ac:dyDescent="0.25">
      <c r="A579">
        <v>1037</v>
      </c>
      <c r="B579" s="1">
        <v>44949</v>
      </c>
      <c r="C579" t="s">
        <v>17</v>
      </c>
      <c r="D579" t="s">
        <v>37</v>
      </c>
      <c r="E579" s="2">
        <v>9813.81</v>
      </c>
      <c r="F579">
        <v>40</v>
      </c>
      <c r="G579" t="s">
        <v>19</v>
      </c>
      <c r="H579" s="2">
        <v>2790.11</v>
      </c>
      <c r="I579" s="2">
        <v>3192.37</v>
      </c>
      <c r="J579" t="s">
        <v>20</v>
      </c>
      <c r="K579">
        <v>0.26</v>
      </c>
      <c r="L579" t="s">
        <v>44</v>
      </c>
      <c r="M579" t="s">
        <v>22</v>
      </c>
      <c r="N579" t="s">
        <v>47</v>
      </c>
      <c r="O579" s="2">
        <f>_Salesdata[[#This Row],[Unit_Price]] * _Salesdata[[#This Row],[Quantity_Sold]]</f>
        <v>127694.79999999999</v>
      </c>
      <c r="P579" s="2">
        <f>_Salesdata[[#This Row],[Unit_Cost]] * _Salesdata[[#This Row],[Quantity_Sold]]</f>
        <v>111604.40000000001</v>
      </c>
      <c r="Q579" s="2">
        <f>_Salesdata[[#This Row],[Gross_Sales]] - _Salesdata[[#This Row],[Total Cost]]</f>
        <v>16090.39999999998</v>
      </c>
      <c r="R579" s="2"/>
    </row>
    <row r="580" spans="1:18" x14ac:dyDescent="0.25">
      <c r="A580">
        <v>1092</v>
      </c>
      <c r="B580" s="1">
        <v>45094</v>
      </c>
      <c r="C580" t="s">
        <v>30</v>
      </c>
      <c r="D580" t="s">
        <v>18</v>
      </c>
      <c r="E580" s="2">
        <v>862.02</v>
      </c>
      <c r="F580">
        <v>21</v>
      </c>
      <c r="G580" t="s">
        <v>19</v>
      </c>
      <c r="H580" s="2">
        <v>2792.2</v>
      </c>
      <c r="I580" s="2">
        <v>3254.5499999999902</v>
      </c>
      <c r="J580" t="s">
        <v>27</v>
      </c>
      <c r="K580">
        <v>0.02</v>
      </c>
      <c r="L580" t="s">
        <v>28</v>
      </c>
      <c r="M580" t="s">
        <v>32</v>
      </c>
      <c r="N580" t="s">
        <v>33</v>
      </c>
      <c r="O580" s="2">
        <f>_Salesdata[[#This Row],[Unit_Price]] * _Salesdata[[#This Row],[Quantity_Sold]]</f>
        <v>68345.549999999799</v>
      </c>
      <c r="P580" s="2">
        <f>_Salesdata[[#This Row],[Unit_Cost]] * _Salesdata[[#This Row],[Quantity_Sold]]</f>
        <v>58636.2</v>
      </c>
      <c r="Q580" s="2">
        <f>_Salesdata[[#This Row],[Gross_Sales]] - _Salesdata[[#This Row],[Total Cost]]</f>
        <v>9709.3499999998021</v>
      </c>
      <c r="R580" s="2"/>
    </row>
    <row r="581" spans="1:18" x14ac:dyDescent="0.25">
      <c r="A581">
        <v>1009</v>
      </c>
      <c r="B581" s="1">
        <v>45060</v>
      </c>
      <c r="C581" t="s">
        <v>30</v>
      </c>
      <c r="D581" t="s">
        <v>25</v>
      </c>
      <c r="E581" s="2">
        <v>2584.91</v>
      </c>
      <c r="F581">
        <v>40</v>
      </c>
      <c r="G581" t="s">
        <v>39</v>
      </c>
      <c r="H581" s="2">
        <v>2799.71</v>
      </c>
      <c r="I581" s="2">
        <v>3231.08</v>
      </c>
      <c r="J581" t="s">
        <v>20</v>
      </c>
      <c r="K581">
        <v>0.28999999999999998</v>
      </c>
      <c r="L581" t="s">
        <v>28</v>
      </c>
      <c r="M581" t="s">
        <v>32</v>
      </c>
      <c r="N581" t="s">
        <v>45</v>
      </c>
      <c r="O581" s="2">
        <f>_Salesdata[[#This Row],[Unit_Price]] * _Salesdata[[#This Row],[Quantity_Sold]]</f>
        <v>129243.2</v>
      </c>
      <c r="P581" s="2">
        <f>_Salesdata[[#This Row],[Unit_Cost]] * _Salesdata[[#This Row],[Quantity_Sold]]</f>
        <v>111988.4</v>
      </c>
      <c r="Q581" s="2">
        <f>_Salesdata[[#This Row],[Gross_Sales]] - _Salesdata[[#This Row],[Total Cost]]</f>
        <v>17254.800000000003</v>
      </c>
      <c r="R581" s="2"/>
    </row>
    <row r="582" spans="1:18" x14ac:dyDescent="0.25">
      <c r="A582">
        <v>1071</v>
      </c>
      <c r="B582" s="1">
        <v>45066</v>
      </c>
      <c r="C582" t="s">
        <v>48</v>
      </c>
      <c r="D582" t="s">
        <v>25</v>
      </c>
      <c r="E582" s="2">
        <v>3003.76</v>
      </c>
      <c r="F582">
        <v>6</v>
      </c>
      <c r="G582" t="s">
        <v>39</v>
      </c>
      <c r="H582" s="2">
        <v>2831.23</v>
      </c>
      <c r="I582" s="2">
        <v>3206.98</v>
      </c>
      <c r="J582" t="s">
        <v>20</v>
      </c>
      <c r="K582">
        <v>0.06</v>
      </c>
      <c r="L582" t="s">
        <v>44</v>
      </c>
      <c r="M582" t="s">
        <v>32</v>
      </c>
      <c r="N582" t="s">
        <v>49</v>
      </c>
      <c r="O582" s="2">
        <f>_Salesdata[[#This Row],[Unit_Price]] * _Salesdata[[#This Row],[Quantity_Sold]]</f>
        <v>19241.88</v>
      </c>
      <c r="P582" s="2">
        <f>_Salesdata[[#This Row],[Unit_Cost]] * _Salesdata[[#This Row],[Quantity_Sold]]</f>
        <v>16987.38</v>
      </c>
      <c r="Q582" s="2">
        <f>_Salesdata[[#This Row],[Gross_Sales]] - _Salesdata[[#This Row],[Total Cost]]</f>
        <v>2254.5</v>
      </c>
      <c r="R582" s="2"/>
    </row>
    <row r="583" spans="1:18" x14ac:dyDescent="0.25">
      <c r="A583">
        <v>1067</v>
      </c>
      <c r="B583" s="1">
        <v>45027</v>
      </c>
      <c r="C583" t="s">
        <v>17</v>
      </c>
      <c r="D583" t="s">
        <v>18</v>
      </c>
      <c r="E583" s="2">
        <v>8963.93</v>
      </c>
      <c r="F583">
        <v>17</v>
      </c>
      <c r="G583" t="s">
        <v>31</v>
      </c>
      <c r="H583" s="2">
        <v>2831.58</v>
      </c>
      <c r="I583" s="2">
        <v>3186.15</v>
      </c>
      <c r="J583" t="s">
        <v>27</v>
      </c>
      <c r="K583">
        <v>0.24</v>
      </c>
      <c r="L583" t="s">
        <v>44</v>
      </c>
      <c r="M583" t="s">
        <v>32</v>
      </c>
      <c r="N583" t="s">
        <v>23</v>
      </c>
      <c r="O583" s="2">
        <f>_Salesdata[[#This Row],[Unit_Price]] * _Salesdata[[#This Row],[Quantity_Sold]]</f>
        <v>54164.55</v>
      </c>
      <c r="P583" s="2">
        <f>_Salesdata[[#This Row],[Unit_Cost]] * _Salesdata[[#This Row],[Quantity_Sold]]</f>
        <v>48136.86</v>
      </c>
      <c r="Q583" s="2">
        <f>_Salesdata[[#This Row],[Gross_Sales]] - _Salesdata[[#This Row],[Total Cost]]</f>
        <v>6027.6900000000023</v>
      </c>
      <c r="R583" s="2"/>
    </row>
    <row r="584" spans="1:18" x14ac:dyDescent="0.25">
      <c r="A584">
        <v>1006</v>
      </c>
      <c r="B584" s="1">
        <v>45185</v>
      </c>
      <c r="C584" t="s">
        <v>17</v>
      </c>
      <c r="D584" t="s">
        <v>37</v>
      </c>
      <c r="E584" s="2">
        <v>8995.75</v>
      </c>
      <c r="F584">
        <v>49</v>
      </c>
      <c r="G584" t="s">
        <v>31</v>
      </c>
      <c r="H584" s="2">
        <v>2843.76</v>
      </c>
      <c r="I584" s="2">
        <v>3146.6</v>
      </c>
      <c r="J584" t="s">
        <v>27</v>
      </c>
      <c r="K584">
        <v>0.08</v>
      </c>
      <c r="L584" t="s">
        <v>21</v>
      </c>
      <c r="M584" t="s">
        <v>32</v>
      </c>
      <c r="N584" t="s">
        <v>47</v>
      </c>
      <c r="O584" s="2">
        <f>_Salesdata[[#This Row],[Unit_Price]] * _Salesdata[[#This Row],[Quantity_Sold]]</f>
        <v>154183.4</v>
      </c>
      <c r="P584" s="2">
        <f>_Salesdata[[#This Row],[Unit_Cost]] * _Salesdata[[#This Row],[Quantity_Sold]]</f>
        <v>139344.24000000002</v>
      </c>
      <c r="Q584" s="2">
        <f>_Salesdata[[#This Row],[Gross_Sales]] - _Salesdata[[#This Row],[Total Cost]]</f>
        <v>14839.159999999974</v>
      </c>
      <c r="R584" s="2"/>
    </row>
    <row r="585" spans="1:18" x14ac:dyDescent="0.25">
      <c r="A585">
        <v>1036</v>
      </c>
      <c r="B585" s="1">
        <v>45245</v>
      </c>
      <c r="C585" t="s">
        <v>17</v>
      </c>
      <c r="D585" t="s">
        <v>25</v>
      </c>
      <c r="E585" s="2">
        <v>7316.91</v>
      </c>
      <c r="F585">
        <v>19</v>
      </c>
      <c r="G585" t="s">
        <v>39</v>
      </c>
      <c r="H585" s="2">
        <v>2844.97</v>
      </c>
      <c r="I585" s="2">
        <v>3215</v>
      </c>
      <c r="J585" t="s">
        <v>20</v>
      </c>
      <c r="K585">
        <v>0.09</v>
      </c>
      <c r="L585" t="s">
        <v>28</v>
      </c>
      <c r="M585" t="s">
        <v>32</v>
      </c>
      <c r="N585" t="s">
        <v>34</v>
      </c>
      <c r="O585" s="2">
        <f>_Salesdata[[#This Row],[Unit_Price]] * _Salesdata[[#This Row],[Quantity_Sold]]</f>
        <v>61085</v>
      </c>
      <c r="P585" s="2">
        <f>_Salesdata[[#This Row],[Unit_Cost]] * _Salesdata[[#This Row],[Quantity_Sold]]</f>
        <v>54054.429999999993</v>
      </c>
      <c r="Q585" s="2">
        <f>_Salesdata[[#This Row],[Gross_Sales]] - _Salesdata[[#This Row],[Total Cost]]</f>
        <v>7030.570000000007</v>
      </c>
      <c r="R585" s="2"/>
    </row>
    <row r="586" spans="1:18" x14ac:dyDescent="0.25">
      <c r="A586">
        <v>1016</v>
      </c>
      <c r="B586" s="1">
        <v>44943</v>
      </c>
      <c r="C586" t="s">
        <v>48</v>
      </c>
      <c r="D586" t="s">
        <v>25</v>
      </c>
      <c r="E586" s="2">
        <v>4598.0200000000004</v>
      </c>
      <c r="F586">
        <v>21</v>
      </c>
      <c r="G586" t="s">
        <v>26</v>
      </c>
      <c r="H586" s="2">
        <v>2863.74</v>
      </c>
      <c r="I586" s="2">
        <v>2953.91</v>
      </c>
      <c r="J586" t="s">
        <v>27</v>
      </c>
      <c r="K586">
        <v>0.1</v>
      </c>
      <c r="L586" t="s">
        <v>44</v>
      </c>
      <c r="M586" t="s">
        <v>32</v>
      </c>
      <c r="N586" t="s">
        <v>49</v>
      </c>
      <c r="O586" s="2">
        <f>_Salesdata[[#This Row],[Unit_Price]] * _Salesdata[[#This Row],[Quantity_Sold]]</f>
        <v>62032.11</v>
      </c>
      <c r="P586" s="2">
        <f>_Salesdata[[#This Row],[Unit_Cost]] * _Salesdata[[#This Row],[Quantity_Sold]]</f>
        <v>60138.539999999994</v>
      </c>
      <c r="Q586" s="2">
        <f>_Salesdata[[#This Row],[Gross_Sales]] - _Salesdata[[#This Row],[Total Cost]]</f>
        <v>1893.570000000007</v>
      </c>
      <c r="R586" s="2"/>
    </row>
    <row r="587" spans="1:18" x14ac:dyDescent="0.25">
      <c r="A587">
        <v>1019</v>
      </c>
      <c r="B587" s="1">
        <v>45210</v>
      </c>
      <c r="C587" t="s">
        <v>48</v>
      </c>
      <c r="D587" t="s">
        <v>40</v>
      </c>
      <c r="E587" s="2">
        <v>2030.25</v>
      </c>
      <c r="F587">
        <v>32</v>
      </c>
      <c r="G587" t="s">
        <v>26</v>
      </c>
      <c r="H587" s="2">
        <v>2866.47</v>
      </c>
      <c r="I587" s="2">
        <v>3286.47</v>
      </c>
      <c r="J587" t="s">
        <v>27</v>
      </c>
      <c r="K587">
        <v>0.09</v>
      </c>
      <c r="L587" t="s">
        <v>28</v>
      </c>
      <c r="M587" t="s">
        <v>22</v>
      </c>
      <c r="N587" t="s">
        <v>50</v>
      </c>
      <c r="O587" s="2">
        <f>_Salesdata[[#This Row],[Unit_Price]] * _Salesdata[[#This Row],[Quantity_Sold]]</f>
        <v>105167.03999999999</v>
      </c>
      <c r="P587" s="2">
        <f>_Salesdata[[#This Row],[Unit_Cost]] * _Salesdata[[#This Row],[Quantity_Sold]]</f>
        <v>91727.039999999994</v>
      </c>
      <c r="Q587" s="2">
        <f>_Salesdata[[#This Row],[Gross_Sales]] - _Salesdata[[#This Row],[Total Cost]]</f>
        <v>13440</v>
      </c>
      <c r="R587" s="2"/>
    </row>
    <row r="588" spans="1:18" x14ac:dyDescent="0.25">
      <c r="A588">
        <v>1074</v>
      </c>
      <c r="B588" s="1">
        <v>45150</v>
      </c>
      <c r="C588" t="s">
        <v>17</v>
      </c>
      <c r="D588" t="s">
        <v>18</v>
      </c>
      <c r="E588" s="2">
        <v>6011.84</v>
      </c>
      <c r="F588">
        <v>2</v>
      </c>
      <c r="G588" t="s">
        <v>31</v>
      </c>
      <c r="H588" s="2">
        <v>2868.02</v>
      </c>
      <c r="I588" s="2">
        <v>2994.74</v>
      </c>
      <c r="J588" t="s">
        <v>20</v>
      </c>
      <c r="K588">
        <v>0.18</v>
      </c>
      <c r="L588" t="s">
        <v>44</v>
      </c>
      <c r="M588" t="s">
        <v>22</v>
      </c>
      <c r="N588" t="s">
        <v>23</v>
      </c>
      <c r="O588" s="2">
        <f>_Salesdata[[#This Row],[Unit_Price]] * _Salesdata[[#This Row],[Quantity_Sold]]</f>
        <v>5989.48</v>
      </c>
      <c r="P588" s="2">
        <f>_Salesdata[[#This Row],[Unit_Cost]] * _Salesdata[[#This Row],[Quantity_Sold]]</f>
        <v>5736.04</v>
      </c>
      <c r="Q588" s="2">
        <f>_Salesdata[[#This Row],[Gross_Sales]] - _Salesdata[[#This Row],[Total Cost]]</f>
        <v>253.4399999999996</v>
      </c>
      <c r="R588" s="2"/>
    </row>
    <row r="589" spans="1:18" x14ac:dyDescent="0.25">
      <c r="A589">
        <v>1002</v>
      </c>
      <c r="B589" s="1">
        <v>45141</v>
      </c>
      <c r="C589" t="s">
        <v>24</v>
      </c>
      <c r="D589" t="s">
        <v>40</v>
      </c>
      <c r="E589" s="2">
        <v>8302.7000000000007</v>
      </c>
      <c r="F589">
        <v>16</v>
      </c>
      <c r="G589" t="s">
        <v>39</v>
      </c>
      <c r="H589" s="2">
        <v>2872.4</v>
      </c>
      <c r="I589" s="2">
        <v>3193.76</v>
      </c>
      <c r="J589" t="s">
        <v>20</v>
      </c>
      <c r="K589">
        <v>0.04</v>
      </c>
      <c r="L589" t="s">
        <v>28</v>
      </c>
      <c r="M589" t="s">
        <v>22</v>
      </c>
      <c r="N589" t="s">
        <v>55</v>
      </c>
      <c r="O589" s="2">
        <f>_Salesdata[[#This Row],[Unit_Price]] * _Salesdata[[#This Row],[Quantity_Sold]]</f>
        <v>51100.160000000003</v>
      </c>
      <c r="P589" s="2">
        <f>_Salesdata[[#This Row],[Unit_Cost]] * _Salesdata[[#This Row],[Quantity_Sold]]</f>
        <v>45958.400000000001</v>
      </c>
      <c r="Q589" s="2">
        <f>_Salesdata[[#This Row],[Gross_Sales]] - _Salesdata[[#This Row],[Total Cost]]</f>
        <v>5141.760000000002</v>
      </c>
      <c r="R589" s="2"/>
    </row>
    <row r="590" spans="1:18" x14ac:dyDescent="0.25">
      <c r="A590">
        <v>1029</v>
      </c>
      <c r="B590" s="1">
        <v>44986</v>
      </c>
      <c r="C590" t="s">
        <v>30</v>
      </c>
      <c r="D590" t="s">
        <v>18</v>
      </c>
      <c r="E590" s="2">
        <v>6773.89</v>
      </c>
      <c r="F590">
        <v>28</v>
      </c>
      <c r="G590" t="s">
        <v>19</v>
      </c>
      <c r="H590" s="2">
        <v>2873.53</v>
      </c>
      <c r="I590" s="2">
        <v>3108.3</v>
      </c>
      <c r="J590" t="s">
        <v>27</v>
      </c>
      <c r="K590">
        <v>0.15</v>
      </c>
      <c r="L590" t="s">
        <v>28</v>
      </c>
      <c r="M590" t="s">
        <v>32</v>
      </c>
      <c r="N590" t="s">
        <v>33</v>
      </c>
      <c r="O590" s="2">
        <f>_Salesdata[[#This Row],[Unit_Price]] * _Salesdata[[#This Row],[Quantity_Sold]]</f>
        <v>87032.400000000009</v>
      </c>
      <c r="P590" s="2">
        <f>_Salesdata[[#This Row],[Unit_Cost]] * _Salesdata[[#This Row],[Quantity_Sold]]</f>
        <v>80458.840000000011</v>
      </c>
      <c r="Q590" s="2">
        <f>_Salesdata[[#This Row],[Gross_Sales]] - _Salesdata[[#This Row],[Total Cost]]</f>
        <v>6573.5599999999977</v>
      </c>
      <c r="R590" s="2"/>
    </row>
    <row r="591" spans="1:18" x14ac:dyDescent="0.25">
      <c r="A591">
        <v>1036</v>
      </c>
      <c r="B591" s="1">
        <v>45270</v>
      </c>
      <c r="C591" t="s">
        <v>30</v>
      </c>
      <c r="D591" t="s">
        <v>37</v>
      </c>
      <c r="E591" s="2">
        <v>9989.0400000000009</v>
      </c>
      <c r="F591">
        <v>7</v>
      </c>
      <c r="G591" t="s">
        <v>31</v>
      </c>
      <c r="H591" s="2">
        <v>2882.25</v>
      </c>
      <c r="I591" s="2">
        <v>3163.7</v>
      </c>
      <c r="J591" t="s">
        <v>20</v>
      </c>
      <c r="K591">
        <v>0.05</v>
      </c>
      <c r="L591" t="s">
        <v>21</v>
      </c>
      <c r="M591" t="s">
        <v>32</v>
      </c>
      <c r="N591" t="s">
        <v>51</v>
      </c>
      <c r="O591" s="2">
        <f>_Salesdata[[#This Row],[Unit_Price]] * _Salesdata[[#This Row],[Quantity_Sold]]</f>
        <v>22145.899999999998</v>
      </c>
      <c r="P591" s="2">
        <f>_Salesdata[[#This Row],[Unit_Cost]] * _Salesdata[[#This Row],[Quantity_Sold]]</f>
        <v>20175.75</v>
      </c>
      <c r="Q591" s="2">
        <f>_Salesdata[[#This Row],[Gross_Sales]] - _Salesdata[[#This Row],[Total Cost]]</f>
        <v>1970.1499999999978</v>
      </c>
      <c r="R591" s="2"/>
    </row>
    <row r="592" spans="1:18" x14ac:dyDescent="0.25">
      <c r="A592">
        <v>1069</v>
      </c>
      <c r="B592" s="1">
        <v>45263</v>
      </c>
      <c r="C592" t="s">
        <v>30</v>
      </c>
      <c r="D592" t="s">
        <v>37</v>
      </c>
      <c r="E592" s="2">
        <v>6521.53</v>
      </c>
      <c r="F592">
        <v>35</v>
      </c>
      <c r="G592" t="s">
        <v>26</v>
      </c>
      <c r="H592" s="2">
        <v>2885.16</v>
      </c>
      <c r="I592" s="2">
        <v>3224.8399999999901</v>
      </c>
      <c r="J592" t="s">
        <v>27</v>
      </c>
      <c r="K592">
        <v>0.14000000000000001</v>
      </c>
      <c r="L592" t="s">
        <v>21</v>
      </c>
      <c r="M592" t="s">
        <v>22</v>
      </c>
      <c r="N592" t="s">
        <v>51</v>
      </c>
      <c r="O592" s="2">
        <f>_Salesdata[[#This Row],[Unit_Price]] * _Salesdata[[#This Row],[Quantity_Sold]]</f>
        <v>112869.39999999966</v>
      </c>
      <c r="P592" s="2">
        <f>_Salesdata[[#This Row],[Unit_Cost]] * _Salesdata[[#This Row],[Quantity_Sold]]</f>
        <v>100980.59999999999</v>
      </c>
      <c r="Q592" s="2">
        <f>_Salesdata[[#This Row],[Gross_Sales]] - _Salesdata[[#This Row],[Total Cost]]</f>
        <v>11888.799999999668</v>
      </c>
      <c r="R592" s="2"/>
    </row>
    <row r="593" spans="1:18" x14ac:dyDescent="0.25">
      <c r="A593">
        <v>1047</v>
      </c>
      <c r="B593" s="1">
        <v>45147</v>
      </c>
      <c r="C593" t="s">
        <v>30</v>
      </c>
      <c r="D593" t="s">
        <v>37</v>
      </c>
      <c r="E593" s="2">
        <v>1910.09</v>
      </c>
      <c r="F593">
        <v>41</v>
      </c>
      <c r="G593" t="s">
        <v>19</v>
      </c>
      <c r="H593" s="2">
        <v>2888.49</v>
      </c>
      <c r="I593" s="2">
        <v>2929.45</v>
      </c>
      <c r="J593" t="s">
        <v>27</v>
      </c>
      <c r="K593">
        <v>0.06</v>
      </c>
      <c r="L593" t="s">
        <v>21</v>
      </c>
      <c r="M593" t="s">
        <v>32</v>
      </c>
      <c r="N593" t="s">
        <v>51</v>
      </c>
      <c r="O593" s="2">
        <f>_Salesdata[[#This Row],[Unit_Price]] * _Salesdata[[#This Row],[Quantity_Sold]]</f>
        <v>120107.45</v>
      </c>
      <c r="P593" s="2">
        <f>_Salesdata[[#This Row],[Unit_Cost]] * _Salesdata[[#This Row],[Quantity_Sold]]</f>
        <v>118428.09</v>
      </c>
      <c r="Q593" s="2">
        <f>_Salesdata[[#This Row],[Gross_Sales]] - _Salesdata[[#This Row],[Total Cost]]</f>
        <v>1679.3600000000006</v>
      </c>
      <c r="R593" s="2"/>
    </row>
    <row r="594" spans="1:18" x14ac:dyDescent="0.25">
      <c r="A594">
        <v>1084</v>
      </c>
      <c r="B594" s="1">
        <v>45006</v>
      </c>
      <c r="C594" t="s">
        <v>48</v>
      </c>
      <c r="D594" t="s">
        <v>40</v>
      </c>
      <c r="E594" s="2">
        <v>3617.67</v>
      </c>
      <c r="F594">
        <v>40</v>
      </c>
      <c r="G594" t="s">
        <v>31</v>
      </c>
      <c r="H594" s="2">
        <v>2890.95</v>
      </c>
      <c r="I594" s="2">
        <v>3104.43</v>
      </c>
      <c r="J594" t="s">
        <v>27</v>
      </c>
      <c r="K594">
        <v>0.21</v>
      </c>
      <c r="L594" t="s">
        <v>44</v>
      </c>
      <c r="M594" t="s">
        <v>22</v>
      </c>
      <c r="N594" t="s">
        <v>50</v>
      </c>
      <c r="O594" s="2">
        <f>_Salesdata[[#This Row],[Unit_Price]] * _Salesdata[[#This Row],[Quantity_Sold]]</f>
        <v>124177.2</v>
      </c>
      <c r="P594" s="2">
        <f>_Salesdata[[#This Row],[Unit_Cost]] * _Salesdata[[#This Row],[Quantity_Sold]]</f>
        <v>115638</v>
      </c>
      <c r="Q594" s="2">
        <f>_Salesdata[[#This Row],[Gross_Sales]] - _Salesdata[[#This Row],[Total Cost]]</f>
        <v>8539.1999999999971</v>
      </c>
      <c r="R594" s="2"/>
    </row>
    <row r="595" spans="1:18" x14ac:dyDescent="0.25">
      <c r="A595">
        <v>1061</v>
      </c>
      <c r="B595" s="1">
        <v>45049</v>
      </c>
      <c r="C595" t="s">
        <v>17</v>
      </c>
      <c r="D595" t="s">
        <v>40</v>
      </c>
      <c r="E595" s="2">
        <v>7277.56</v>
      </c>
      <c r="F595">
        <v>41</v>
      </c>
      <c r="G595" t="s">
        <v>39</v>
      </c>
      <c r="H595" s="2">
        <v>2894.18</v>
      </c>
      <c r="I595" s="2">
        <v>3193.92</v>
      </c>
      <c r="J595" t="s">
        <v>27</v>
      </c>
      <c r="K595">
        <v>0.28000000000000003</v>
      </c>
      <c r="L595" t="s">
        <v>44</v>
      </c>
      <c r="M595" t="s">
        <v>32</v>
      </c>
      <c r="N595" t="s">
        <v>42</v>
      </c>
      <c r="O595" s="2">
        <f>_Salesdata[[#This Row],[Unit_Price]] * _Salesdata[[#This Row],[Quantity_Sold]]</f>
        <v>130950.72</v>
      </c>
      <c r="P595" s="2">
        <f>_Salesdata[[#This Row],[Unit_Cost]] * _Salesdata[[#This Row],[Quantity_Sold]]</f>
        <v>118661.37999999999</v>
      </c>
      <c r="Q595" s="2">
        <f>_Salesdata[[#This Row],[Gross_Sales]] - _Salesdata[[#This Row],[Total Cost]]</f>
        <v>12289.340000000011</v>
      </c>
      <c r="R595" s="2"/>
    </row>
    <row r="596" spans="1:18" x14ac:dyDescent="0.25">
      <c r="A596">
        <v>1048</v>
      </c>
      <c r="B596" s="1">
        <v>45199</v>
      </c>
      <c r="C596" t="s">
        <v>35</v>
      </c>
      <c r="D596" t="s">
        <v>37</v>
      </c>
      <c r="E596" s="2">
        <v>7873.38</v>
      </c>
      <c r="F596">
        <v>4</v>
      </c>
      <c r="G596" t="s">
        <v>39</v>
      </c>
      <c r="H596" s="2">
        <v>2900.14</v>
      </c>
      <c r="I596" s="2">
        <v>2910.5099999999902</v>
      </c>
      <c r="J596" t="s">
        <v>27</v>
      </c>
      <c r="K596">
        <v>0.22</v>
      </c>
      <c r="L596" t="s">
        <v>28</v>
      </c>
      <c r="M596" t="s">
        <v>32</v>
      </c>
      <c r="N596" t="s">
        <v>38</v>
      </c>
      <c r="O596" s="2">
        <f>_Salesdata[[#This Row],[Unit_Price]] * _Salesdata[[#This Row],[Quantity_Sold]]</f>
        <v>11642.039999999961</v>
      </c>
      <c r="P596" s="2">
        <f>_Salesdata[[#This Row],[Unit_Cost]] * _Salesdata[[#This Row],[Quantity_Sold]]</f>
        <v>11600.56</v>
      </c>
      <c r="Q596" s="2">
        <f>_Salesdata[[#This Row],[Gross_Sales]] - _Salesdata[[#This Row],[Total Cost]]</f>
        <v>41.479999999961365</v>
      </c>
      <c r="R596" s="2"/>
    </row>
    <row r="597" spans="1:18" x14ac:dyDescent="0.25">
      <c r="A597">
        <v>1008</v>
      </c>
      <c r="B597" s="1">
        <v>45268</v>
      </c>
      <c r="C597" t="s">
        <v>24</v>
      </c>
      <c r="D597" t="s">
        <v>40</v>
      </c>
      <c r="E597" s="2">
        <v>3197.78</v>
      </c>
      <c r="F597">
        <v>49</v>
      </c>
      <c r="G597" t="s">
        <v>26</v>
      </c>
      <c r="H597" s="2">
        <v>2907.22</v>
      </c>
      <c r="I597" s="2">
        <v>3385.6099999999901</v>
      </c>
      <c r="J597" t="s">
        <v>27</v>
      </c>
      <c r="K597">
        <v>0.13</v>
      </c>
      <c r="L597" t="s">
        <v>21</v>
      </c>
      <c r="M597" t="s">
        <v>22</v>
      </c>
      <c r="N597" t="s">
        <v>55</v>
      </c>
      <c r="O597" s="2">
        <f>_Salesdata[[#This Row],[Unit_Price]] * _Salesdata[[#This Row],[Quantity_Sold]]</f>
        <v>165894.88999999952</v>
      </c>
      <c r="P597" s="2">
        <f>_Salesdata[[#This Row],[Unit_Cost]] * _Salesdata[[#This Row],[Quantity_Sold]]</f>
        <v>142453.78</v>
      </c>
      <c r="Q597" s="2">
        <f>_Salesdata[[#This Row],[Gross_Sales]] - _Salesdata[[#This Row],[Total Cost]]</f>
        <v>23441.10999999952</v>
      </c>
      <c r="R597" s="2"/>
    </row>
    <row r="598" spans="1:18" x14ac:dyDescent="0.25">
      <c r="A598">
        <v>1033</v>
      </c>
      <c r="B598" s="1">
        <v>45058</v>
      </c>
      <c r="C598" t="s">
        <v>17</v>
      </c>
      <c r="D598" t="s">
        <v>37</v>
      </c>
      <c r="E598" s="2">
        <v>5055.9799999999996</v>
      </c>
      <c r="F598">
        <v>16</v>
      </c>
      <c r="G598" t="s">
        <v>39</v>
      </c>
      <c r="H598" s="2">
        <v>2915.88</v>
      </c>
      <c r="I598" s="2">
        <v>3397.36</v>
      </c>
      <c r="J598" t="s">
        <v>27</v>
      </c>
      <c r="K598">
        <v>0.2</v>
      </c>
      <c r="L598" t="s">
        <v>44</v>
      </c>
      <c r="M598" t="s">
        <v>32</v>
      </c>
      <c r="N598" t="s">
        <v>47</v>
      </c>
      <c r="O598" s="2">
        <f>_Salesdata[[#This Row],[Unit_Price]] * _Salesdata[[#This Row],[Quantity_Sold]]</f>
        <v>54357.760000000002</v>
      </c>
      <c r="P598" s="2">
        <f>_Salesdata[[#This Row],[Unit_Cost]] * _Salesdata[[#This Row],[Quantity_Sold]]</f>
        <v>46654.080000000002</v>
      </c>
      <c r="Q598" s="2">
        <f>_Salesdata[[#This Row],[Gross_Sales]] - _Salesdata[[#This Row],[Total Cost]]</f>
        <v>7703.68</v>
      </c>
      <c r="R598" s="2"/>
    </row>
    <row r="599" spans="1:18" x14ac:dyDescent="0.25">
      <c r="A599">
        <v>1039</v>
      </c>
      <c r="B599" s="1">
        <v>45139</v>
      </c>
      <c r="C599" t="s">
        <v>48</v>
      </c>
      <c r="D599" t="s">
        <v>25</v>
      </c>
      <c r="E599" s="2">
        <v>7527.63</v>
      </c>
      <c r="F599">
        <v>36</v>
      </c>
      <c r="G599" t="s">
        <v>19</v>
      </c>
      <c r="H599" s="2">
        <v>2919</v>
      </c>
      <c r="I599" s="2">
        <v>3125.01</v>
      </c>
      <c r="J599" t="s">
        <v>27</v>
      </c>
      <c r="K599">
        <v>0.24</v>
      </c>
      <c r="L599" t="s">
        <v>21</v>
      </c>
      <c r="M599" t="s">
        <v>22</v>
      </c>
      <c r="N599" t="s">
        <v>49</v>
      </c>
      <c r="O599" s="2">
        <f>_Salesdata[[#This Row],[Unit_Price]] * _Salesdata[[#This Row],[Quantity_Sold]]</f>
        <v>112500.36000000002</v>
      </c>
      <c r="P599" s="2">
        <f>_Salesdata[[#This Row],[Unit_Cost]] * _Salesdata[[#This Row],[Quantity_Sold]]</f>
        <v>105084</v>
      </c>
      <c r="Q599" s="2">
        <f>_Salesdata[[#This Row],[Gross_Sales]] - _Salesdata[[#This Row],[Total Cost]]</f>
        <v>7416.3600000000151</v>
      </c>
      <c r="R599" s="2"/>
    </row>
    <row r="600" spans="1:18" x14ac:dyDescent="0.25">
      <c r="A600">
        <v>1096</v>
      </c>
      <c r="B600" s="1">
        <v>45219</v>
      </c>
      <c r="C600" t="s">
        <v>30</v>
      </c>
      <c r="D600" t="s">
        <v>40</v>
      </c>
      <c r="E600" s="2">
        <v>7051.25</v>
      </c>
      <c r="F600">
        <v>10</v>
      </c>
      <c r="G600" t="s">
        <v>19</v>
      </c>
      <c r="H600" s="2">
        <v>2927.02</v>
      </c>
      <c r="I600" s="2">
        <v>3387.21</v>
      </c>
      <c r="J600" t="s">
        <v>20</v>
      </c>
      <c r="K600">
        <v>0.12</v>
      </c>
      <c r="L600" t="s">
        <v>21</v>
      </c>
      <c r="M600" t="s">
        <v>32</v>
      </c>
      <c r="N600" t="s">
        <v>41</v>
      </c>
      <c r="O600" s="2">
        <f>_Salesdata[[#This Row],[Unit_Price]] * _Salesdata[[#This Row],[Quantity_Sold]]</f>
        <v>33872.1</v>
      </c>
      <c r="P600" s="2">
        <f>_Salesdata[[#This Row],[Unit_Cost]] * _Salesdata[[#This Row],[Quantity_Sold]]</f>
        <v>29270.2</v>
      </c>
      <c r="Q600" s="2">
        <f>_Salesdata[[#This Row],[Gross_Sales]] - _Salesdata[[#This Row],[Total Cost]]</f>
        <v>4601.8999999999978</v>
      </c>
      <c r="R600" s="2"/>
    </row>
    <row r="601" spans="1:18" x14ac:dyDescent="0.25">
      <c r="A601">
        <v>1015</v>
      </c>
      <c r="B601" s="1">
        <v>45246</v>
      </c>
      <c r="C601" t="s">
        <v>48</v>
      </c>
      <c r="D601" t="s">
        <v>18</v>
      </c>
      <c r="E601" s="2">
        <v>2673.06</v>
      </c>
      <c r="F601">
        <v>1</v>
      </c>
      <c r="G601" t="s">
        <v>39</v>
      </c>
      <c r="H601" s="2">
        <v>2928.74</v>
      </c>
      <c r="I601" s="2">
        <v>3027.74</v>
      </c>
      <c r="J601" t="s">
        <v>27</v>
      </c>
      <c r="K601">
        <v>0.15</v>
      </c>
      <c r="L601" t="s">
        <v>44</v>
      </c>
      <c r="M601" t="s">
        <v>32</v>
      </c>
      <c r="N601" t="s">
        <v>54</v>
      </c>
      <c r="O601" s="2">
        <f>_Salesdata[[#This Row],[Unit_Price]] * _Salesdata[[#This Row],[Quantity_Sold]]</f>
        <v>3027.74</v>
      </c>
      <c r="P601" s="2">
        <f>_Salesdata[[#This Row],[Unit_Cost]] * _Salesdata[[#This Row],[Quantity_Sold]]</f>
        <v>2928.74</v>
      </c>
      <c r="Q601" s="2">
        <f>_Salesdata[[#This Row],[Gross_Sales]] - _Salesdata[[#This Row],[Total Cost]]</f>
        <v>99</v>
      </c>
      <c r="R601" s="2"/>
    </row>
    <row r="602" spans="1:18" x14ac:dyDescent="0.25">
      <c r="A602">
        <v>1001</v>
      </c>
      <c r="B602" s="1">
        <v>45207</v>
      </c>
      <c r="C602" t="s">
        <v>17</v>
      </c>
      <c r="D602" t="s">
        <v>25</v>
      </c>
      <c r="E602" s="2">
        <v>8397.73</v>
      </c>
      <c r="F602">
        <v>33</v>
      </c>
      <c r="G602" t="s">
        <v>39</v>
      </c>
      <c r="H602" s="2">
        <v>2933.54</v>
      </c>
      <c r="I602" s="2">
        <v>3307.75</v>
      </c>
      <c r="J602" t="s">
        <v>20</v>
      </c>
      <c r="K602">
        <v>0.01</v>
      </c>
      <c r="L602" t="s">
        <v>44</v>
      </c>
      <c r="M602" t="s">
        <v>32</v>
      </c>
      <c r="N602" t="s">
        <v>34</v>
      </c>
      <c r="O602" s="2">
        <f>_Salesdata[[#This Row],[Unit_Price]] * _Salesdata[[#This Row],[Quantity_Sold]]</f>
        <v>109155.75</v>
      </c>
      <c r="P602" s="2">
        <f>_Salesdata[[#This Row],[Unit_Cost]] * _Salesdata[[#This Row],[Quantity_Sold]]</f>
        <v>96806.819999999992</v>
      </c>
      <c r="Q602" s="2">
        <f>_Salesdata[[#This Row],[Gross_Sales]] - _Salesdata[[#This Row],[Total Cost]]</f>
        <v>12348.930000000008</v>
      </c>
      <c r="R602" s="2"/>
    </row>
    <row r="603" spans="1:18" x14ac:dyDescent="0.25">
      <c r="A603">
        <v>1032</v>
      </c>
      <c r="B603" s="1">
        <v>45239</v>
      </c>
      <c r="C603" t="s">
        <v>17</v>
      </c>
      <c r="D603" t="s">
        <v>18</v>
      </c>
      <c r="E603" s="2">
        <v>804.47</v>
      </c>
      <c r="F603">
        <v>25</v>
      </c>
      <c r="G603" t="s">
        <v>26</v>
      </c>
      <c r="H603" s="2">
        <v>2934.3</v>
      </c>
      <c r="I603" s="2">
        <v>3337.4</v>
      </c>
      <c r="J603" t="s">
        <v>20</v>
      </c>
      <c r="K603">
        <v>0.25</v>
      </c>
      <c r="L603" t="s">
        <v>28</v>
      </c>
      <c r="M603" t="s">
        <v>32</v>
      </c>
      <c r="N603" t="s">
        <v>23</v>
      </c>
      <c r="O603" s="2">
        <f>_Salesdata[[#This Row],[Unit_Price]] * _Salesdata[[#This Row],[Quantity_Sold]]</f>
        <v>83435</v>
      </c>
      <c r="P603" s="2">
        <f>_Salesdata[[#This Row],[Unit_Cost]] * _Salesdata[[#This Row],[Quantity_Sold]]</f>
        <v>73357.5</v>
      </c>
      <c r="Q603" s="2">
        <f>_Salesdata[[#This Row],[Gross_Sales]] - _Salesdata[[#This Row],[Total Cost]]</f>
        <v>10077.5</v>
      </c>
      <c r="R603" s="2"/>
    </row>
    <row r="604" spans="1:18" x14ac:dyDescent="0.25">
      <c r="A604">
        <v>1035</v>
      </c>
      <c r="B604" s="1">
        <v>44988</v>
      </c>
      <c r="C604" t="s">
        <v>17</v>
      </c>
      <c r="D604" t="s">
        <v>25</v>
      </c>
      <c r="E604" s="2">
        <v>2494.7399999999998</v>
      </c>
      <c r="F604">
        <v>47</v>
      </c>
      <c r="G604" t="s">
        <v>26</v>
      </c>
      <c r="H604" s="2">
        <v>2936.48</v>
      </c>
      <c r="I604" s="2">
        <v>3096.64</v>
      </c>
      <c r="J604" t="s">
        <v>27</v>
      </c>
      <c r="K604">
        <v>0.06</v>
      </c>
      <c r="L604" t="s">
        <v>44</v>
      </c>
      <c r="M604" t="s">
        <v>22</v>
      </c>
      <c r="N604" t="s">
        <v>34</v>
      </c>
      <c r="O604" s="2">
        <f>_Salesdata[[#This Row],[Unit_Price]] * _Salesdata[[#This Row],[Quantity_Sold]]</f>
        <v>145542.07999999999</v>
      </c>
      <c r="P604" s="2">
        <f>_Salesdata[[#This Row],[Unit_Cost]] * _Salesdata[[#This Row],[Quantity_Sold]]</f>
        <v>138014.56</v>
      </c>
      <c r="Q604" s="2">
        <f>_Salesdata[[#This Row],[Gross_Sales]] - _Salesdata[[#This Row],[Total Cost]]</f>
        <v>7527.5199999999895</v>
      </c>
      <c r="R604" s="2"/>
    </row>
    <row r="605" spans="1:18" x14ac:dyDescent="0.25">
      <c r="A605">
        <v>1015</v>
      </c>
      <c r="B605" s="1">
        <v>45215</v>
      </c>
      <c r="C605" t="s">
        <v>35</v>
      </c>
      <c r="D605" t="s">
        <v>37</v>
      </c>
      <c r="E605" s="2">
        <v>7946.69</v>
      </c>
      <c r="F605">
        <v>23</v>
      </c>
      <c r="G605" t="s">
        <v>31</v>
      </c>
      <c r="H605" s="2">
        <v>2937.94</v>
      </c>
      <c r="I605" s="2">
        <v>3007.53</v>
      </c>
      <c r="J605" t="s">
        <v>20</v>
      </c>
      <c r="K605">
        <v>0.03</v>
      </c>
      <c r="L605" t="s">
        <v>21</v>
      </c>
      <c r="M605" t="s">
        <v>32</v>
      </c>
      <c r="N605" t="s">
        <v>38</v>
      </c>
      <c r="O605" s="2">
        <f>_Salesdata[[#This Row],[Unit_Price]] * _Salesdata[[#This Row],[Quantity_Sold]]</f>
        <v>69173.19</v>
      </c>
      <c r="P605" s="2">
        <f>_Salesdata[[#This Row],[Unit_Cost]] * _Salesdata[[#This Row],[Quantity_Sold]]</f>
        <v>67572.62</v>
      </c>
      <c r="Q605" s="2">
        <f>_Salesdata[[#This Row],[Gross_Sales]] - _Salesdata[[#This Row],[Total Cost]]</f>
        <v>1600.570000000007</v>
      </c>
      <c r="R605" s="2"/>
    </row>
    <row r="606" spans="1:18" x14ac:dyDescent="0.25">
      <c r="A606">
        <v>1062</v>
      </c>
      <c r="B606" s="1">
        <v>45126</v>
      </c>
      <c r="C606" t="s">
        <v>35</v>
      </c>
      <c r="D606" t="s">
        <v>37</v>
      </c>
      <c r="E606" s="2">
        <v>5684.33</v>
      </c>
      <c r="F606">
        <v>10</v>
      </c>
      <c r="G606" t="s">
        <v>26</v>
      </c>
      <c r="H606" s="2">
        <v>2940.4</v>
      </c>
      <c r="I606" s="2">
        <v>3054.79</v>
      </c>
      <c r="J606" t="s">
        <v>20</v>
      </c>
      <c r="K606">
        <v>0.08</v>
      </c>
      <c r="L606" t="s">
        <v>28</v>
      </c>
      <c r="M606" t="s">
        <v>22</v>
      </c>
      <c r="N606" t="s">
        <v>38</v>
      </c>
      <c r="O606" s="2">
        <f>_Salesdata[[#This Row],[Unit_Price]] * _Salesdata[[#This Row],[Quantity_Sold]]</f>
        <v>30547.9</v>
      </c>
      <c r="P606" s="2">
        <f>_Salesdata[[#This Row],[Unit_Cost]] * _Salesdata[[#This Row],[Quantity_Sold]]</f>
        <v>29404</v>
      </c>
      <c r="Q606" s="2">
        <f>_Salesdata[[#This Row],[Gross_Sales]] - _Salesdata[[#This Row],[Total Cost]]</f>
        <v>1143.9000000000015</v>
      </c>
      <c r="R606" s="2"/>
    </row>
    <row r="607" spans="1:18" x14ac:dyDescent="0.25">
      <c r="A607">
        <v>1049</v>
      </c>
      <c r="B607" s="1">
        <v>45289</v>
      </c>
      <c r="C607" t="s">
        <v>35</v>
      </c>
      <c r="D607" t="s">
        <v>40</v>
      </c>
      <c r="E607" s="2">
        <v>4380.2299999999996</v>
      </c>
      <c r="F607">
        <v>38</v>
      </c>
      <c r="G607" t="s">
        <v>31</v>
      </c>
      <c r="H607" s="2">
        <v>2945.92</v>
      </c>
      <c r="I607" s="2">
        <v>3381.22</v>
      </c>
      <c r="J607" t="s">
        <v>20</v>
      </c>
      <c r="K607">
        <v>0.23</v>
      </c>
      <c r="L607" t="s">
        <v>21</v>
      </c>
      <c r="M607" t="s">
        <v>32</v>
      </c>
      <c r="N607" t="s">
        <v>43</v>
      </c>
      <c r="O607" s="2">
        <f>_Salesdata[[#This Row],[Unit_Price]] * _Salesdata[[#This Row],[Quantity_Sold]]</f>
        <v>128486.35999999999</v>
      </c>
      <c r="P607" s="2">
        <f>_Salesdata[[#This Row],[Unit_Cost]] * _Salesdata[[#This Row],[Quantity_Sold]]</f>
        <v>111944.96000000001</v>
      </c>
      <c r="Q607" s="2">
        <f>_Salesdata[[#This Row],[Gross_Sales]] - _Salesdata[[#This Row],[Total Cost]]</f>
        <v>16541.39999999998</v>
      </c>
      <c r="R607" s="2"/>
    </row>
    <row r="608" spans="1:18" x14ac:dyDescent="0.25">
      <c r="A608">
        <v>1098</v>
      </c>
      <c r="B608" s="1">
        <v>45024</v>
      </c>
      <c r="C608" t="s">
        <v>48</v>
      </c>
      <c r="D608" t="s">
        <v>37</v>
      </c>
      <c r="E608" s="2">
        <v>9452.89</v>
      </c>
      <c r="F608">
        <v>5</v>
      </c>
      <c r="G608" t="s">
        <v>26</v>
      </c>
      <c r="H608" s="2">
        <v>2947.22</v>
      </c>
      <c r="I608" s="2">
        <v>3145.27</v>
      </c>
      <c r="J608" t="s">
        <v>27</v>
      </c>
      <c r="K608">
        <v>0.1</v>
      </c>
      <c r="L608" t="s">
        <v>28</v>
      </c>
      <c r="M608" t="s">
        <v>32</v>
      </c>
      <c r="N608" t="s">
        <v>52</v>
      </c>
      <c r="O608" s="2">
        <f>_Salesdata[[#This Row],[Unit_Price]] * _Salesdata[[#This Row],[Quantity_Sold]]</f>
        <v>15726.35</v>
      </c>
      <c r="P608" s="2">
        <f>_Salesdata[[#This Row],[Unit_Cost]] * _Salesdata[[#This Row],[Quantity_Sold]]</f>
        <v>14736.099999999999</v>
      </c>
      <c r="Q608" s="2">
        <f>_Salesdata[[#This Row],[Gross_Sales]] - _Salesdata[[#This Row],[Total Cost]]</f>
        <v>990.25000000000182</v>
      </c>
      <c r="R608" s="2"/>
    </row>
    <row r="609" spans="1:18" x14ac:dyDescent="0.25">
      <c r="A609">
        <v>1004</v>
      </c>
      <c r="B609" s="1">
        <v>45104</v>
      </c>
      <c r="C609" t="s">
        <v>24</v>
      </c>
      <c r="D609" t="s">
        <v>25</v>
      </c>
      <c r="E609" s="2">
        <v>7825.72</v>
      </c>
      <c r="F609">
        <v>2</v>
      </c>
      <c r="G609" t="s">
        <v>26</v>
      </c>
      <c r="H609" s="2">
        <v>2953.23</v>
      </c>
      <c r="I609" s="2">
        <v>2977.52</v>
      </c>
      <c r="J609" t="s">
        <v>20</v>
      </c>
      <c r="K609">
        <v>0.11</v>
      </c>
      <c r="L609" t="s">
        <v>28</v>
      </c>
      <c r="M609" t="s">
        <v>32</v>
      </c>
      <c r="N609" t="s">
        <v>29</v>
      </c>
      <c r="O609" s="2">
        <f>_Salesdata[[#This Row],[Unit_Price]] * _Salesdata[[#This Row],[Quantity_Sold]]</f>
        <v>5955.04</v>
      </c>
      <c r="P609" s="2">
        <f>_Salesdata[[#This Row],[Unit_Cost]] * _Salesdata[[#This Row],[Quantity_Sold]]</f>
        <v>5906.46</v>
      </c>
      <c r="Q609" s="2">
        <f>_Salesdata[[#This Row],[Gross_Sales]] - _Salesdata[[#This Row],[Total Cost]]</f>
        <v>48.579999999999927</v>
      </c>
      <c r="R609" s="2"/>
    </row>
    <row r="610" spans="1:18" x14ac:dyDescent="0.25">
      <c r="A610">
        <v>1033</v>
      </c>
      <c r="B610" s="1">
        <v>44985</v>
      </c>
      <c r="C610" t="s">
        <v>30</v>
      </c>
      <c r="D610" t="s">
        <v>25</v>
      </c>
      <c r="E610" s="2">
        <v>4155.74</v>
      </c>
      <c r="F610">
        <v>3</v>
      </c>
      <c r="G610" t="s">
        <v>19</v>
      </c>
      <c r="H610" s="2">
        <v>2958.75</v>
      </c>
      <c r="I610" s="2">
        <v>3177.64</v>
      </c>
      <c r="J610" t="s">
        <v>20</v>
      </c>
      <c r="K610">
        <v>0.17</v>
      </c>
      <c r="L610" t="s">
        <v>21</v>
      </c>
      <c r="M610" t="s">
        <v>22</v>
      </c>
      <c r="N610" t="s">
        <v>45</v>
      </c>
      <c r="O610" s="2">
        <f>_Salesdata[[#This Row],[Unit_Price]] * _Salesdata[[#This Row],[Quantity_Sold]]</f>
        <v>9532.92</v>
      </c>
      <c r="P610" s="2">
        <f>_Salesdata[[#This Row],[Unit_Cost]] * _Salesdata[[#This Row],[Quantity_Sold]]</f>
        <v>8876.25</v>
      </c>
      <c r="Q610" s="2">
        <f>_Salesdata[[#This Row],[Gross_Sales]] - _Salesdata[[#This Row],[Total Cost]]</f>
        <v>656.67000000000007</v>
      </c>
      <c r="R610" s="2"/>
    </row>
    <row r="611" spans="1:18" x14ac:dyDescent="0.25">
      <c r="A611">
        <v>1006</v>
      </c>
      <c r="B611" s="1">
        <v>45046</v>
      </c>
      <c r="C611" t="s">
        <v>35</v>
      </c>
      <c r="D611" t="s">
        <v>37</v>
      </c>
      <c r="E611" s="2">
        <v>6233.31</v>
      </c>
      <c r="F611">
        <v>19</v>
      </c>
      <c r="G611" t="s">
        <v>19</v>
      </c>
      <c r="H611" s="2">
        <v>2962.41</v>
      </c>
      <c r="I611" s="2">
        <v>3218.8999999999901</v>
      </c>
      <c r="J611" t="s">
        <v>27</v>
      </c>
      <c r="K611">
        <v>0.28999999999999998</v>
      </c>
      <c r="L611" t="s">
        <v>21</v>
      </c>
      <c r="M611" t="s">
        <v>32</v>
      </c>
      <c r="N611" t="s">
        <v>38</v>
      </c>
      <c r="O611" s="2">
        <f>_Salesdata[[#This Row],[Unit_Price]] * _Salesdata[[#This Row],[Quantity_Sold]]</f>
        <v>61159.099999999809</v>
      </c>
      <c r="P611" s="2">
        <f>_Salesdata[[#This Row],[Unit_Cost]] * _Salesdata[[#This Row],[Quantity_Sold]]</f>
        <v>56285.789999999994</v>
      </c>
      <c r="Q611" s="2">
        <f>_Salesdata[[#This Row],[Gross_Sales]] - _Salesdata[[#This Row],[Total Cost]]</f>
        <v>4873.3099999998158</v>
      </c>
      <c r="R611" s="2"/>
    </row>
    <row r="612" spans="1:18" x14ac:dyDescent="0.25">
      <c r="A612">
        <v>1033</v>
      </c>
      <c r="B612" s="1">
        <v>45244</v>
      </c>
      <c r="C612" t="s">
        <v>30</v>
      </c>
      <c r="D612" t="s">
        <v>40</v>
      </c>
      <c r="E612" s="2">
        <v>4011.8</v>
      </c>
      <c r="F612">
        <v>23</v>
      </c>
      <c r="G612" t="s">
        <v>39</v>
      </c>
      <c r="H612" s="2">
        <v>2981.5</v>
      </c>
      <c r="I612" s="2">
        <v>3360.4</v>
      </c>
      <c r="J612" t="s">
        <v>20</v>
      </c>
      <c r="K612">
        <v>0.22</v>
      </c>
      <c r="L612" t="s">
        <v>44</v>
      </c>
      <c r="M612" t="s">
        <v>32</v>
      </c>
      <c r="N612" t="s">
        <v>41</v>
      </c>
      <c r="O612" s="2">
        <f>_Salesdata[[#This Row],[Unit_Price]] * _Salesdata[[#This Row],[Quantity_Sold]]</f>
        <v>77289.2</v>
      </c>
      <c r="P612" s="2">
        <f>_Salesdata[[#This Row],[Unit_Cost]] * _Salesdata[[#This Row],[Quantity_Sold]]</f>
        <v>68574.5</v>
      </c>
      <c r="Q612" s="2">
        <f>_Salesdata[[#This Row],[Gross_Sales]] - _Salesdata[[#This Row],[Total Cost]]</f>
        <v>8714.6999999999971</v>
      </c>
      <c r="R612" s="2"/>
    </row>
    <row r="613" spans="1:18" x14ac:dyDescent="0.25">
      <c r="A613">
        <v>1025</v>
      </c>
      <c r="B613" s="1">
        <v>45118</v>
      </c>
      <c r="C613" t="s">
        <v>35</v>
      </c>
      <c r="D613" t="s">
        <v>25</v>
      </c>
      <c r="E613" s="2">
        <v>5910.67</v>
      </c>
      <c r="F613">
        <v>40</v>
      </c>
      <c r="G613" t="s">
        <v>26</v>
      </c>
      <c r="H613" s="2">
        <v>2983.85</v>
      </c>
      <c r="I613" s="2">
        <v>3239.74</v>
      </c>
      <c r="J613" t="s">
        <v>27</v>
      </c>
      <c r="K613">
        <v>0.27</v>
      </c>
      <c r="L613" t="s">
        <v>28</v>
      </c>
      <c r="M613" t="s">
        <v>22</v>
      </c>
      <c r="N613" t="s">
        <v>56</v>
      </c>
      <c r="O613" s="2">
        <f>_Salesdata[[#This Row],[Unit_Price]] * _Salesdata[[#This Row],[Quantity_Sold]]</f>
        <v>129589.59999999999</v>
      </c>
      <c r="P613" s="2">
        <f>_Salesdata[[#This Row],[Unit_Cost]] * _Salesdata[[#This Row],[Quantity_Sold]]</f>
        <v>119354</v>
      </c>
      <c r="Q613" s="2">
        <f>_Salesdata[[#This Row],[Gross_Sales]] - _Salesdata[[#This Row],[Total Cost]]</f>
        <v>10235.599999999991</v>
      </c>
      <c r="R613" s="2"/>
    </row>
    <row r="614" spans="1:18" x14ac:dyDescent="0.25">
      <c r="A614">
        <v>1026</v>
      </c>
      <c r="B614" s="1">
        <v>45054</v>
      </c>
      <c r="C614" t="s">
        <v>35</v>
      </c>
      <c r="D614" t="s">
        <v>25</v>
      </c>
      <c r="E614" s="2">
        <v>9519.09</v>
      </c>
      <c r="F614">
        <v>20</v>
      </c>
      <c r="G614" t="s">
        <v>19</v>
      </c>
      <c r="H614" s="2">
        <v>2985.63</v>
      </c>
      <c r="I614" s="2">
        <v>3452.14</v>
      </c>
      <c r="J614" t="s">
        <v>27</v>
      </c>
      <c r="K614">
        <v>0.17</v>
      </c>
      <c r="L614" t="s">
        <v>28</v>
      </c>
      <c r="M614" t="s">
        <v>32</v>
      </c>
      <c r="N614" t="s">
        <v>56</v>
      </c>
      <c r="O614" s="2">
        <f>_Salesdata[[#This Row],[Unit_Price]] * _Salesdata[[#This Row],[Quantity_Sold]]</f>
        <v>69042.8</v>
      </c>
      <c r="P614" s="2">
        <f>_Salesdata[[#This Row],[Unit_Cost]] * _Salesdata[[#This Row],[Quantity_Sold]]</f>
        <v>59712.600000000006</v>
      </c>
      <c r="Q614" s="2">
        <f>_Salesdata[[#This Row],[Gross_Sales]] - _Salesdata[[#This Row],[Total Cost]]</f>
        <v>9330.1999999999971</v>
      </c>
      <c r="R614" s="2"/>
    </row>
    <row r="615" spans="1:18" x14ac:dyDescent="0.25">
      <c r="A615">
        <v>1052</v>
      </c>
      <c r="B615" s="1">
        <v>45122</v>
      </c>
      <c r="C615" t="s">
        <v>35</v>
      </c>
      <c r="D615" t="s">
        <v>18</v>
      </c>
      <c r="E615" s="2">
        <v>1700.55</v>
      </c>
      <c r="F615">
        <v>48</v>
      </c>
      <c r="G615" t="s">
        <v>31</v>
      </c>
      <c r="H615" s="2">
        <v>3002.35</v>
      </c>
      <c r="I615" s="2">
        <v>3080.61</v>
      </c>
      <c r="J615" t="s">
        <v>20</v>
      </c>
      <c r="K615">
        <v>0.18</v>
      </c>
      <c r="L615" t="s">
        <v>44</v>
      </c>
      <c r="M615" t="s">
        <v>32</v>
      </c>
      <c r="N615" t="s">
        <v>36</v>
      </c>
      <c r="O615" s="2">
        <f>_Salesdata[[#This Row],[Unit_Price]] * _Salesdata[[#This Row],[Quantity_Sold]]</f>
        <v>147869.28</v>
      </c>
      <c r="P615" s="2">
        <f>_Salesdata[[#This Row],[Unit_Cost]] * _Salesdata[[#This Row],[Quantity_Sold]]</f>
        <v>144112.79999999999</v>
      </c>
      <c r="Q615" s="2">
        <f>_Salesdata[[#This Row],[Gross_Sales]] - _Salesdata[[#This Row],[Total Cost]]</f>
        <v>3756.4800000000105</v>
      </c>
      <c r="R615" s="2"/>
    </row>
    <row r="616" spans="1:18" x14ac:dyDescent="0.25">
      <c r="A616">
        <v>1088</v>
      </c>
      <c r="B616" s="1">
        <v>45217</v>
      </c>
      <c r="C616" t="s">
        <v>48</v>
      </c>
      <c r="D616" t="s">
        <v>25</v>
      </c>
      <c r="E616" s="2">
        <v>177.63</v>
      </c>
      <c r="F616">
        <v>16</v>
      </c>
      <c r="G616" t="s">
        <v>39</v>
      </c>
      <c r="H616" s="2">
        <v>3016.9</v>
      </c>
      <c r="I616" s="2">
        <v>3040.73</v>
      </c>
      <c r="J616" t="s">
        <v>27</v>
      </c>
      <c r="K616">
        <v>0.26</v>
      </c>
      <c r="L616" t="s">
        <v>44</v>
      </c>
      <c r="M616" t="s">
        <v>32</v>
      </c>
      <c r="N616" t="s">
        <v>49</v>
      </c>
      <c r="O616" s="2">
        <f>_Salesdata[[#This Row],[Unit_Price]] * _Salesdata[[#This Row],[Quantity_Sold]]</f>
        <v>48651.68</v>
      </c>
      <c r="P616" s="2">
        <f>_Salesdata[[#This Row],[Unit_Cost]] * _Salesdata[[#This Row],[Quantity_Sold]]</f>
        <v>48270.400000000001</v>
      </c>
      <c r="Q616" s="2">
        <f>_Salesdata[[#This Row],[Gross_Sales]] - _Salesdata[[#This Row],[Total Cost]]</f>
        <v>381.27999999999884</v>
      </c>
      <c r="R616" s="2"/>
    </row>
    <row r="617" spans="1:18" x14ac:dyDescent="0.25">
      <c r="A617">
        <v>1062</v>
      </c>
      <c r="B617" s="1">
        <v>44999</v>
      </c>
      <c r="C617" t="s">
        <v>24</v>
      </c>
      <c r="D617" t="s">
        <v>18</v>
      </c>
      <c r="E617" s="2">
        <v>4178.3900000000003</v>
      </c>
      <c r="F617">
        <v>24</v>
      </c>
      <c r="G617" t="s">
        <v>31</v>
      </c>
      <c r="H617" s="2">
        <v>3018.01</v>
      </c>
      <c r="I617" s="2">
        <v>3418.19</v>
      </c>
      <c r="J617" t="s">
        <v>20</v>
      </c>
      <c r="K617">
        <v>0.23</v>
      </c>
      <c r="L617" t="s">
        <v>44</v>
      </c>
      <c r="M617" t="s">
        <v>32</v>
      </c>
      <c r="N617" t="s">
        <v>46</v>
      </c>
      <c r="O617" s="2">
        <f>_Salesdata[[#This Row],[Unit_Price]] * _Salesdata[[#This Row],[Quantity_Sold]]</f>
        <v>82036.56</v>
      </c>
      <c r="P617" s="2">
        <f>_Salesdata[[#This Row],[Unit_Cost]] * _Salesdata[[#This Row],[Quantity_Sold]]</f>
        <v>72432.240000000005</v>
      </c>
      <c r="Q617" s="2">
        <f>_Salesdata[[#This Row],[Gross_Sales]] - _Salesdata[[#This Row],[Total Cost]]</f>
        <v>9604.3199999999924</v>
      </c>
      <c r="R617" s="2"/>
    </row>
    <row r="618" spans="1:18" x14ac:dyDescent="0.25">
      <c r="A618">
        <v>1078</v>
      </c>
      <c r="B618" s="1">
        <v>44965</v>
      </c>
      <c r="C618" t="s">
        <v>24</v>
      </c>
      <c r="D618" t="s">
        <v>40</v>
      </c>
      <c r="E618" s="2">
        <v>9813.32</v>
      </c>
      <c r="F618">
        <v>49</v>
      </c>
      <c r="G618" t="s">
        <v>39</v>
      </c>
      <c r="H618" s="2">
        <v>3026.85</v>
      </c>
      <c r="I618" s="2">
        <v>3183.58</v>
      </c>
      <c r="J618" t="s">
        <v>20</v>
      </c>
      <c r="K618">
        <v>0.25</v>
      </c>
      <c r="L618" t="s">
        <v>21</v>
      </c>
      <c r="M618" t="s">
        <v>32</v>
      </c>
      <c r="N618" t="s">
        <v>55</v>
      </c>
      <c r="O618" s="2">
        <f>_Salesdata[[#This Row],[Unit_Price]] * _Salesdata[[#This Row],[Quantity_Sold]]</f>
        <v>155995.41999999998</v>
      </c>
      <c r="P618" s="2">
        <f>_Salesdata[[#This Row],[Unit_Cost]] * _Salesdata[[#This Row],[Quantity_Sold]]</f>
        <v>148315.65</v>
      </c>
      <c r="Q618" s="2">
        <f>_Salesdata[[#This Row],[Gross_Sales]] - _Salesdata[[#This Row],[Total Cost]]</f>
        <v>7679.7699999999895</v>
      </c>
      <c r="R618" s="2"/>
    </row>
    <row r="619" spans="1:18" x14ac:dyDescent="0.25">
      <c r="A619">
        <v>1038</v>
      </c>
      <c r="B619" s="1">
        <v>45140</v>
      </c>
      <c r="C619" t="s">
        <v>24</v>
      </c>
      <c r="D619" t="s">
        <v>18</v>
      </c>
      <c r="E619" s="2">
        <v>8489.14</v>
      </c>
      <c r="F619">
        <v>43</v>
      </c>
      <c r="G619" t="s">
        <v>39</v>
      </c>
      <c r="H619" s="2">
        <v>3031.17</v>
      </c>
      <c r="I619" s="2">
        <v>3231.32</v>
      </c>
      <c r="J619" t="s">
        <v>20</v>
      </c>
      <c r="K619">
        <v>0.22</v>
      </c>
      <c r="L619" t="s">
        <v>21</v>
      </c>
      <c r="M619" t="s">
        <v>32</v>
      </c>
      <c r="N619" t="s">
        <v>46</v>
      </c>
      <c r="O619" s="2">
        <f>_Salesdata[[#This Row],[Unit_Price]] * _Salesdata[[#This Row],[Quantity_Sold]]</f>
        <v>138946.76</v>
      </c>
      <c r="P619" s="2">
        <f>_Salesdata[[#This Row],[Unit_Cost]] * _Salesdata[[#This Row],[Quantity_Sold]]</f>
        <v>130340.31</v>
      </c>
      <c r="Q619" s="2">
        <f>_Salesdata[[#This Row],[Gross_Sales]] - _Salesdata[[#This Row],[Total Cost]]</f>
        <v>8606.4500000000116</v>
      </c>
      <c r="R619" s="2"/>
    </row>
    <row r="620" spans="1:18" x14ac:dyDescent="0.25">
      <c r="A620">
        <v>1092</v>
      </c>
      <c r="B620" s="1">
        <v>45245</v>
      </c>
      <c r="C620" t="s">
        <v>30</v>
      </c>
      <c r="D620" t="s">
        <v>18</v>
      </c>
      <c r="E620" s="2">
        <v>499.47</v>
      </c>
      <c r="F620">
        <v>47</v>
      </c>
      <c r="G620" t="s">
        <v>26</v>
      </c>
      <c r="H620" s="2">
        <v>3034.32</v>
      </c>
      <c r="I620" s="2">
        <v>3375.79</v>
      </c>
      <c r="J620" t="s">
        <v>27</v>
      </c>
      <c r="K620">
        <v>0.28000000000000003</v>
      </c>
      <c r="L620" t="s">
        <v>28</v>
      </c>
      <c r="M620" t="s">
        <v>22</v>
      </c>
      <c r="N620" t="s">
        <v>33</v>
      </c>
      <c r="O620" s="2">
        <f>_Salesdata[[#This Row],[Unit_Price]] * _Salesdata[[#This Row],[Quantity_Sold]]</f>
        <v>158662.13</v>
      </c>
      <c r="P620" s="2">
        <f>_Salesdata[[#This Row],[Unit_Cost]] * _Salesdata[[#This Row],[Quantity_Sold]]</f>
        <v>142613.04</v>
      </c>
      <c r="Q620" s="2">
        <f>_Salesdata[[#This Row],[Gross_Sales]] - _Salesdata[[#This Row],[Total Cost]]</f>
        <v>16049.089999999997</v>
      </c>
      <c r="R620" s="2"/>
    </row>
    <row r="621" spans="1:18" x14ac:dyDescent="0.25">
      <c r="A621">
        <v>1085</v>
      </c>
      <c r="B621" s="1">
        <v>45088</v>
      </c>
      <c r="C621" t="s">
        <v>30</v>
      </c>
      <c r="D621" t="s">
        <v>18</v>
      </c>
      <c r="E621" s="2">
        <v>7813.12</v>
      </c>
      <c r="F621">
        <v>8</v>
      </c>
      <c r="G621" t="s">
        <v>31</v>
      </c>
      <c r="H621" s="2">
        <v>3048.48</v>
      </c>
      <c r="I621" s="2">
        <v>3198.54</v>
      </c>
      <c r="J621" t="s">
        <v>20</v>
      </c>
      <c r="K621">
        <v>0.03</v>
      </c>
      <c r="L621" t="s">
        <v>44</v>
      </c>
      <c r="M621" t="s">
        <v>22</v>
      </c>
      <c r="N621" t="s">
        <v>33</v>
      </c>
      <c r="O621" s="2">
        <f>_Salesdata[[#This Row],[Unit_Price]] * _Salesdata[[#This Row],[Quantity_Sold]]</f>
        <v>25588.32</v>
      </c>
      <c r="P621" s="2">
        <f>_Salesdata[[#This Row],[Unit_Cost]] * _Salesdata[[#This Row],[Quantity_Sold]]</f>
        <v>24387.84</v>
      </c>
      <c r="Q621" s="2">
        <f>_Salesdata[[#This Row],[Gross_Sales]] - _Salesdata[[#This Row],[Total Cost]]</f>
        <v>1200.4799999999996</v>
      </c>
      <c r="R621" s="2"/>
    </row>
    <row r="622" spans="1:18" x14ac:dyDescent="0.25">
      <c r="A622">
        <v>1030</v>
      </c>
      <c r="B622" s="1">
        <v>45124</v>
      </c>
      <c r="C622" t="s">
        <v>30</v>
      </c>
      <c r="D622" t="s">
        <v>25</v>
      </c>
      <c r="E622" s="2">
        <v>3023.48</v>
      </c>
      <c r="F622">
        <v>19</v>
      </c>
      <c r="G622" t="s">
        <v>19</v>
      </c>
      <c r="H622" s="2">
        <v>3049.33</v>
      </c>
      <c r="I622" s="2">
        <v>3209.22</v>
      </c>
      <c r="J622" t="s">
        <v>20</v>
      </c>
      <c r="K622">
        <v>0.26</v>
      </c>
      <c r="L622" t="s">
        <v>21</v>
      </c>
      <c r="M622" t="s">
        <v>22</v>
      </c>
      <c r="N622" t="s">
        <v>45</v>
      </c>
      <c r="O622" s="2">
        <f>_Salesdata[[#This Row],[Unit_Price]] * _Salesdata[[#This Row],[Quantity_Sold]]</f>
        <v>60975.179999999993</v>
      </c>
      <c r="P622" s="2">
        <f>_Salesdata[[#This Row],[Unit_Cost]] * _Salesdata[[#This Row],[Quantity_Sold]]</f>
        <v>57937.27</v>
      </c>
      <c r="Q622" s="2">
        <f>_Salesdata[[#This Row],[Gross_Sales]] - _Salesdata[[#This Row],[Total Cost]]</f>
        <v>3037.9099999999962</v>
      </c>
      <c r="R622" s="2"/>
    </row>
    <row r="623" spans="1:18" x14ac:dyDescent="0.25">
      <c r="A623">
        <v>1026</v>
      </c>
      <c r="B623" s="1">
        <v>45231</v>
      </c>
      <c r="C623" t="s">
        <v>24</v>
      </c>
      <c r="D623" t="s">
        <v>40</v>
      </c>
      <c r="E623" s="2">
        <v>7895.13</v>
      </c>
      <c r="F623">
        <v>36</v>
      </c>
      <c r="G623" t="s">
        <v>19</v>
      </c>
      <c r="H623" s="2">
        <v>3067.05</v>
      </c>
      <c r="I623" s="2">
        <v>3386.33</v>
      </c>
      <c r="J623" t="s">
        <v>27</v>
      </c>
      <c r="K623">
        <v>0.2</v>
      </c>
      <c r="L623" t="s">
        <v>44</v>
      </c>
      <c r="M623" t="s">
        <v>22</v>
      </c>
      <c r="N623" t="s">
        <v>55</v>
      </c>
      <c r="O623" s="2">
        <f>_Salesdata[[#This Row],[Unit_Price]] * _Salesdata[[#This Row],[Quantity_Sold]]</f>
        <v>121907.88</v>
      </c>
      <c r="P623" s="2">
        <f>_Salesdata[[#This Row],[Unit_Cost]] * _Salesdata[[#This Row],[Quantity_Sold]]</f>
        <v>110413.8</v>
      </c>
      <c r="Q623" s="2">
        <f>_Salesdata[[#This Row],[Gross_Sales]] - _Salesdata[[#This Row],[Total Cost]]</f>
        <v>11494.080000000002</v>
      </c>
      <c r="R623" s="2"/>
    </row>
    <row r="624" spans="1:18" x14ac:dyDescent="0.25">
      <c r="A624">
        <v>1092</v>
      </c>
      <c r="B624" s="1">
        <v>45008</v>
      </c>
      <c r="C624" t="s">
        <v>17</v>
      </c>
      <c r="D624" t="s">
        <v>40</v>
      </c>
      <c r="E624" s="2">
        <v>7914</v>
      </c>
      <c r="F624">
        <v>18</v>
      </c>
      <c r="G624" t="s">
        <v>31</v>
      </c>
      <c r="H624" s="2">
        <v>3070.47</v>
      </c>
      <c r="I624" s="2">
        <v>3475.29</v>
      </c>
      <c r="J624" t="s">
        <v>20</v>
      </c>
      <c r="K624">
        <v>0.2</v>
      </c>
      <c r="L624" t="s">
        <v>44</v>
      </c>
      <c r="M624" t="s">
        <v>22</v>
      </c>
      <c r="N624" t="s">
        <v>42</v>
      </c>
      <c r="O624" s="2">
        <f>_Salesdata[[#This Row],[Unit_Price]] * _Salesdata[[#This Row],[Quantity_Sold]]</f>
        <v>62555.22</v>
      </c>
      <c r="P624" s="2">
        <f>_Salesdata[[#This Row],[Unit_Cost]] * _Salesdata[[#This Row],[Quantity_Sold]]</f>
        <v>55268.46</v>
      </c>
      <c r="Q624" s="2">
        <f>_Salesdata[[#This Row],[Gross_Sales]] - _Salesdata[[#This Row],[Total Cost]]</f>
        <v>7286.760000000002</v>
      </c>
      <c r="R624" s="2"/>
    </row>
    <row r="625" spans="1:18" x14ac:dyDescent="0.25">
      <c r="A625">
        <v>1029</v>
      </c>
      <c r="B625" s="1">
        <v>45279</v>
      </c>
      <c r="C625" t="s">
        <v>48</v>
      </c>
      <c r="D625" t="s">
        <v>37</v>
      </c>
      <c r="E625" s="2">
        <v>5694.34</v>
      </c>
      <c r="F625">
        <v>21</v>
      </c>
      <c r="G625" t="s">
        <v>31</v>
      </c>
      <c r="H625" s="2">
        <v>3085.1</v>
      </c>
      <c r="I625" s="2">
        <v>3200.75</v>
      </c>
      <c r="J625" t="s">
        <v>27</v>
      </c>
      <c r="K625">
        <v>0.21</v>
      </c>
      <c r="L625" t="s">
        <v>21</v>
      </c>
      <c r="M625" t="s">
        <v>32</v>
      </c>
      <c r="N625" t="s">
        <v>52</v>
      </c>
      <c r="O625" s="2">
        <f>_Salesdata[[#This Row],[Unit_Price]] * _Salesdata[[#This Row],[Quantity_Sold]]</f>
        <v>67215.75</v>
      </c>
      <c r="P625" s="2">
        <f>_Salesdata[[#This Row],[Unit_Cost]] * _Salesdata[[#This Row],[Quantity_Sold]]</f>
        <v>64787.1</v>
      </c>
      <c r="Q625" s="2">
        <f>_Salesdata[[#This Row],[Gross_Sales]] - _Salesdata[[#This Row],[Total Cost]]</f>
        <v>2428.6500000000015</v>
      </c>
      <c r="R625" s="2"/>
    </row>
    <row r="626" spans="1:18" x14ac:dyDescent="0.25">
      <c r="A626">
        <v>1004</v>
      </c>
      <c r="B626" s="1">
        <v>45092</v>
      </c>
      <c r="C626" t="s">
        <v>24</v>
      </c>
      <c r="D626" t="s">
        <v>18</v>
      </c>
      <c r="E626" s="2">
        <v>6277.59</v>
      </c>
      <c r="F626">
        <v>13</v>
      </c>
      <c r="G626" t="s">
        <v>39</v>
      </c>
      <c r="H626" s="2">
        <v>3087.73</v>
      </c>
      <c r="I626" s="2">
        <v>3263.96</v>
      </c>
      <c r="J626" t="s">
        <v>27</v>
      </c>
      <c r="K626">
        <v>0.24</v>
      </c>
      <c r="L626" t="s">
        <v>21</v>
      </c>
      <c r="M626" t="s">
        <v>32</v>
      </c>
      <c r="N626" t="s">
        <v>46</v>
      </c>
      <c r="O626" s="2">
        <f>_Salesdata[[#This Row],[Unit_Price]] * _Salesdata[[#This Row],[Quantity_Sold]]</f>
        <v>42431.48</v>
      </c>
      <c r="P626" s="2">
        <f>_Salesdata[[#This Row],[Unit_Cost]] * _Salesdata[[#This Row],[Quantity_Sold]]</f>
        <v>40140.49</v>
      </c>
      <c r="Q626" s="2">
        <f>_Salesdata[[#This Row],[Gross_Sales]] - _Salesdata[[#This Row],[Total Cost]]</f>
        <v>2290.9900000000052</v>
      </c>
      <c r="R626" s="2"/>
    </row>
    <row r="627" spans="1:18" x14ac:dyDescent="0.25">
      <c r="A627">
        <v>1070</v>
      </c>
      <c r="B627" s="1">
        <v>45256</v>
      </c>
      <c r="C627" t="s">
        <v>30</v>
      </c>
      <c r="D627" t="s">
        <v>37</v>
      </c>
      <c r="E627" s="2">
        <v>5813.51</v>
      </c>
      <c r="F627">
        <v>40</v>
      </c>
      <c r="G627" t="s">
        <v>39</v>
      </c>
      <c r="H627" s="2">
        <v>3089.96</v>
      </c>
      <c r="I627" s="2">
        <v>3258.45</v>
      </c>
      <c r="J627" t="s">
        <v>27</v>
      </c>
      <c r="K627">
        <v>0.28999999999999998</v>
      </c>
      <c r="L627" t="s">
        <v>21</v>
      </c>
      <c r="M627" t="s">
        <v>22</v>
      </c>
      <c r="N627" t="s">
        <v>51</v>
      </c>
      <c r="O627" s="2">
        <f>_Salesdata[[#This Row],[Unit_Price]] * _Salesdata[[#This Row],[Quantity_Sold]]</f>
        <v>130338</v>
      </c>
      <c r="P627" s="2">
        <f>_Salesdata[[#This Row],[Unit_Cost]] * _Salesdata[[#This Row],[Quantity_Sold]]</f>
        <v>123598.39999999999</v>
      </c>
      <c r="Q627" s="2">
        <f>_Salesdata[[#This Row],[Gross_Sales]] - _Salesdata[[#This Row],[Total Cost]]</f>
        <v>6739.6000000000058</v>
      </c>
      <c r="R627" s="2"/>
    </row>
    <row r="628" spans="1:18" x14ac:dyDescent="0.25">
      <c r="A628">
        <v>1016</v>
      </c>
      <c r="B628" s="1">
        <v>45215</v>
      </c>
      <c r="C628" t="s">
        <v>48</v>
      </c>
      <c r="D628" t="s">
        <v>25</v>
      </c>
      <c r="E628" s="2">
        <v>8786.9500000000007</v>
      </c>
      <c r="F628">
        <v>11</v>
      </c>
      <c r="G628" t="s">
        <v>26</v>
      </c>
      <c r="H628" s="2">
        <v>3094.57</v>
      </c>
      <c r="I628" s="2">
        <v>3565.6</v>
      </c>
      <c r="J628" t="s">
        <v>20</v>
      </c>
      <c r="K628">
        <v>0.1</v>
      </c>
      <c r="L628" t="s">
        <v>28</v>
      </c>
      <c r="M628" t="s">
        <v>32</v>
      </c>
      <c r="N628" t="s">
        <v>49</v>
      </c>
      <c r="O628" s="2">
        <f>_Salesdata[[#This Row],[Unit_Price]] * _Salesdata[[#This Row],[Quantity_Sold]]</f>
        <v>39221.599999999999</v>
      </c>
      <c r="P628" s="2">
        <f>_Salesdata[[#This Row],[Unit_Cost]] * _Salesdata[[#This Row],[Quantity_Sold]]</f>
        <v>34040.270000000004</v>
      </c>
      <c r="Q628" s="2">
        <f>_Salesdata[[#This Row],[Gross_Sales]] - _Salesdata[[#This Row],[Total Cost]]</f>
        <v>5181.3299999999945</v>
      </c>
      <c r="R628" s="2"/>
    </row>
    <row r="629" spans="1:18" x14ac:dyDescent="0.25">
      <c r="A629">
        <v>1019</v>
      </c>
      <c r="B629" s="1">
        <v>45070</v>
      </c>
      <c r="C629" t="s">
        <v>48</v>
      </c>
      <c r="D629" t="s">
        <v>40</v>
      </c>
      <c r="E629" s="2">
        <v>1114.9100000000001</v>
      </c>
      <c r="F629">
        <v>13</v>
      </c>
      <c r="G629" t="s">
        <v>31</v>
      </c>
      <c r="H629" s="2">
        <v>3102.73</v>
      </c>
      <c r="I629" s="2">
        <v>3202.68</v>
      </c>
      <c r="J629" t="s">
        <v>27</v>
      </c>
      <c r="K629">
        <v>0.09</v>
      </c>
      <c r="L629" t="s">
        <v>21</v>
      </c>
      <c r="M629" t="s">
        <v>22</v>
      </c>
      <c r="N629" t="s">
        <v>50</v>
      </c>
      <c r="O629" s="2">
        <f>_Salesdata[[#This Row],[Unit_Price]] * _Salesdata[[#This Row],[Quantity_Sold]]</f>
        <v>41634.839999999997</v>
      </c>
      <c r="P629" s="2">
        <f>_Salesdata[[#This Row],[Unit_Cost]] * _Salesdata[[#This Row],[Quantity_Sold]]</f>
        <v>40335.49</v>
      </c>
      <c r="Q629" s="2">
        <f>_Salesdata[[#This Row],[Gross_Sales]] - _Salesdata[[#This Row],[Total Cost]]</f>
        <v>1299.3499999999985</v>
      </c>
      <c r="R629" s="2"/>
    </row>
    <row r="630" spans="1:18" x14ac:dyDescent="0.25">
      <c r="A630">
        <v>1024</v>
      </c>
      <c r="B630" s="1">
        <v>45101</v>
      </c>
      <c r="C630" t="s">
        <v>24</v>
      </c>
      <c r="D630" t="s">
        <v>37</v>
      </c>
      <c r="E630" s="2">
        <v>8292.31</v>
      </c>
      <c r="F630">
        <v>43</v>
      </c>
      <c r="G630" t="s">
        <v>19</v>
      </c>
      <c r="H630" s="2">
        <v>3105.24</v>
      </c>
      <c r="I630" s="2">
        <v>3246.33</v>
      </c>
      <c r="J630" t="s">
        <v>27</v>
      </c>
      <c r="K630">
        <v>0.25</v>
      </c>
      <c r="L630" t="s">
        <v>21</v>
      </c>
      <c r="M630" t="s">
        <v>22</v>
      </c>
      <c r="N630" t="s">
        <v>53</v>
      </c>
      <c r="O630" s="2">
        <f>_Salesdata[[#This Row],[Unit_Price]] * _Salesdata[[#This Row],[Quantity_Sold]]</f>
        <v>139592.19</v>
      </c>
      <c r="P630" s="2">
        <f>_Salesdata[[#This Row],[Unit_Cost]] * _Salesdata[[#This Row],[Quantity_Sold]]</f>
        <v>133525.31999999998</v>
      </c>
      <c r="Q630" s="2">
        <f>_Salesdata[[#This Row],[Gross_Sales]] - _Salesdata[[#This Row],[Total Cost]]</f>
        <v>6066.8700000000244</v>
      </c>
      <c r="R630" s="2"/>
    </row>
    <row r="631" spans="1:18" x14ac:dyDescent="0.25">
      <c r="A631">
        <v>1059</v>
      </c>
      <c r="B631" s="1">
        <v>45154</v>
      </c>
      <c r="C631" t="s">
        <v>24</v>
      </c>
      <c r="D631" t="s">
        <v>25</v>
      </c>
      <c r="E631" s="2">
        <v>3634.59</v>
      </c>
      <c r="F631">
        <v>21</v>
      </c>
      <c r="G631" t="s">
        <v>19</v>
      </c>
      <c r="H631" s="2">
        <v>3110.54</v>
      </c>
      <c r="I631" s="2">
        <v>3192.99</v>
      </c>
      <c r="J631" t="s">
        <v>27</v>
      </c>
      <c r="K631">
        <v>0.17</v>
      </c>
      <c r="L631" t="s">
        <v>28</v>
      </c>
      <c r="M631" t="s">
        <v>22</v>
      </c>
      <c r="N631" t="s">
        <v>29</v>
      </c>
      <c r="O631" s="2">
        <f>_Salesdata[[#This Row],[Unit_Price]] * _Salesdata[[#This Row],[Quantity_Sold]]</f>
        <v>67052.789999999994</v>
      </c>
      <c r="P631" s="2">
        <f>_Salesdata[[#This Row],[Unit_Cost]] * _Salesdata[[#This Row],[Quantity_Sold]]</f>
        <v>65321.34</v>
      </c>
      <c r="Q631" s="2">
        <f>_Salesdata[[#This Row],[Gross_Sales]] - _Salesdata[[#This Row],[Total Cost]]</f>
        <v>1731.4499999999971</v>
      </c>
      <c r="R631" s="2"/>
    </row>
    <row r="632" spans="1:18" x14ac:dyDescent="0.25">
      <c r="A632">
        <v>1047</v>
      </c>
      <c r="B632" s="1">
        <v>45016</v>
      </c>
      <c r="C632" t="s">
        <v>24</v>
      </c>
      <c r="D632" t="s">
        <v>18</v>
      </c>
      <c r="E632" s="2">
        <v>3546.15</v>
      </c>
      <c r="F632">
        <v>37</v>
      </c>
      <c r="G632" t="s">
        <v>26</v>
      </c>
      <c r="H632" s="2">
        <v>3114.88</v>
      </c>
      <c r="I632" s="2">
        <v>3256.78</v>
      </c>
      <c r="J632" t="s">
        <v>20</v>
      </c>
      <c r="K632">
        <v>0.26</v>
      </c>
      <c r="L632" t="s">
        <v>28</v>
      </c>
      <c r="M632" t="s">
        <v>22</v>
      </c>
      <c r="N632" t="s">
        <v>46</v>
      </c>
      <c r="O632" s="2">
        <f>_Salesdata[[#This Row],[Unit_Price]] * _Salesdata[[#This Row],[Quantity_Sold]]</f>
        <v>120500.86</v>
      </c>
      <c r="P632" s="2">
        <f>_Salesdata[[#This Row],[Unit_Cost]] * _Salesdata[[#This Row],[Quantity_Sold]]</f>
        <v>115250.56</v>
      </c>
      <c r="Q632" s="2">
        <f>_Salesdata[[#This Row],[Gross_Sales]] - _Salesdata[[#This Row],[Total Cost]]</f>
        <v>5250.3000000000029</v>
      </c>
      <c r="R632" s="2"/>
    </row>
    <row r="633" spans="1:18" x14ac:dyDescent="0.25">
      <c r="A633">
        <v>1042</v>
      </c>
      <c r="B633" s="1">
        <v>45083</v>
      </c>
      <c r="C633" t="s">
        <v>17</v>
      </c>
      <c r="D633" t="s">
        <v>37</v>
      </c>
      <c r="E633" s="2">
        <v>9442.65</v>
      </c>
      <c r="F633">
        <v>20</v>
      </c>
      <c r="G633" t="s">
        <v>31</v>
      </c>
      <c r="H633" s="2">
        <v>3115.06</v>
      </c>
      <c r="I633" s="2">
        <v>3565.58</v>
      </c>
      <c r="J633" t="s">
        <v>20</v>
      </c>
      <c r="K633">
        <v>0.3</v>
      </c>
      <c r="L633" t="s">
        <v>28</v>
      </c>
      <c r="M633" t="s">
        <v>32</v>
      </c>
      <c r="N633" t="s">
        <v>47</v>
      </c>
      <c r="O633" s="2">
        <f>_Salesdata[[#This Row],[Unit_Price]] * _Salesdata[[#This Row],[Quantity_Sold]]</f>
        <v>71311.600000000006</v>
      </c>
      <c r="P633" s="2">
        <f>_Salesdata[[#This Row],[Unit_Cost]] * _Salesdata[[#This Row],[Quantity_Sold]]</f>
        <v>62301.2</v>
      </c>
      <c r="Q633" s="2">
        <f>_Salesdata[[#This Row],[Gross_Sales]] - _Salesdata[[#This Row],[Total Cost]]</f>
        <v>9010.4000000000087</v>
      </c>
      <c r="R633" s="2"/>
    </row>
    <row r="634" spans="1:18" x14ac:dyDescent="0.25">
      <c r="A634">
        <v>1085</v>
      </c>
      <c r="B634" s="1">
        <v>45266</v>
      </c>
      <c r="C634" t="s">
        <v>48</v>
      </c>
      <c r="D634" t="s">
        <v>37</v>
      </c>
      <c r="E634" s="2">
        <v>397.26</v>
      </c>
      <c r="F634">
        <v>42</v>
      </c>
      <c r="G634" t="s">
        <v>26</v>
      </c>
      <c r="H634" s="2">
        <v>3117.75</v>
      </c>
      <c r="I634" s="2">
        <v>3159.88</v>
      </c>
      <c r="J634" t="s">
        <v>27</v>
      </c>
      <c r="K634">
        <v>0.04</v>
      </c>
      <c r="L634" t="s">
        <v>21</v>
      </c>
      <c r="M634" t="s">
        <v>32</v>
      </c>
      <c r="N634" t="s">
        <v>52</v>
      </c>
      <c r="O634" s="2">
        <f>_Salesdata[[#This Row],[Unit_Price]] * _Salesdata[[#This Row],[Quantity_Sold]]</f>
        <v>132714.96</v>
      </c>
      <c r="P634" s="2">
        <f>_Salesdata[[#This Row],[Unit_Cost]] * _Salesdata[[#This Row],[Quantity_Sold]]</f>
        <v>130945.5</v>
      </c>
      <c r="Q634" s="2">
        <f>_Salesdata[[#This Row],[Gross_Sales]] - _Salesdata[[#This Row],[Total Cost]]</f>
        <v>1769.4599999999919</v>
      </c>
      <c r="R634" s="2"/>
    </row>
    <row r="635" spans="1:18" x14ac:dyDescent="0.25">
      <c r="A635">
        <v>1039</v>
      </c>
      <c r="B635" s="1">
        <v>45129</v>
      </c>
      <c r="C635" t="s">
        <v>24</v>
      </c>
      <c r="D635" t="s">
        <v>18</v>
      </c>
      <c r="E635" s="2">
        <v>6807.67</v>
      </c>
      <c r="F635">
        <v>42</v>
      </c>
      <c r="G635" t="s">
        <v>19</v>
      </c>
      <c r="H635" s="2">
        <v>3120.19</v>
      </c>
      <c r="I635" s="2">
        <v>3600.14</v>
      </c>
      <c r="J635" t="s">
        <v>20</v>
      </c>
      <c r="K635">
        <v>0.19</v>
      </c>
      <c r="L635" t="s">
        <v>28</v>
      </c>
      <c r="M635" t="s">
        <v>32</v>
      </c>
      <c r="N635" t="s">
        <v>46</v>
      </c>
      <c r="O635" s="2">
        <f>_Salesdata[[#This Row],[Unit_Price]] * _Salesdata[[#This Row],[Quantity_Sold]]</f>
        <v>151205.88</v>
      </c>
      <c r="P635" s="2">
        <f>_Salesdata[[#This Row],[Unit_Cost]] * _Salesdata[[#This Row],[Quantity_Sold]]</f>
        <v>131047.98</v>
      </c>
      <c r="Q635" s="2">
        <f>_Salesdata[[#This Row],[Gross_Sales]] - _Salesdata[[#This Row],[Total Cost]]</f>
        <v>20157.900000000009</v>
      </c>
      <c r="R635" s="2"/>
    </row>
    <row r="636" spans="1:18" x14ac:dyDescent="0.25">
      <c r="A636">
        <v>1033</v>
      </c>
      <c r="B636" s="1">
        <v>45230</v>
      </c>
      <c r="C636" t="s">
        <v>48</v>
      </c>
      <c r="D636" t="s">
        <v>18</v>
      </c>
      <c r="E636" s="2">
        <v>7982.79</v>
      </c>
      <c r="F636">
        <v>18</v>
      </c>
      <c r="G636" t="s">
        <v>39</v>
      </c>
      <c r="H636" s="2">
        <v>3124.48</v>
      </c>
      <c r="I636" s="2">
        <v>3553.27</v>
      </c>
      <c r="J636" t="s">
        <v>20</v>
      </c>
      <c r="K636">
        <v>0.12</v>
      </c>
      <c r="L636" t="s">
        <v>21</v>
      </c>
      <c r="M636" t="s">
        <v>32</v>
      </c>
      <c r="N636" t="s">
        <v>54</v>
      </c>
      <c r="O636" s="2">
        <f>_Salesdata[[#This Row],[Unit_Price]] * _Salesdata[[#This Row],[Quantity_Sold]]</f>
        <v>63958.86</v>
      </c>
      <c r="P636" s="2">
        <f>_Salesdata[[#This Row],[Unit_Cost]] * _Salesdata[[#This Row],[Quantity_Sold]]</f>
        <v>56240.639999999999</v>
      </c>
      <c r="Q636" s="2">
        <f>_Salesdata[[#This Row],[Gross_Sales]] - _Salesdata[[#This Row],[Total Cost]]</f>
        <v>7718.2200000000012</v>
      </c>
      <c r="R636" s="2"/>
    </row>
    <row r="637" spans="1:18" x14ac:dyDescent="0.25">
      <c r="A637">
        <v>1099</v>
      </c>
      <c r="B637" s="1">
        <v>45290</v>
      </c>
      <c r="C637" t="s">
        <v>17</v>
      </c>
      <c r="D637" t="s">
        <v>25</v>
      </c>
      <c r="E637" s="2">
        <v>9450.0400000000009</v>
      </c>
      <c r="F637">
        <v>29</v>
      </c>
      <c r="G637" t="s">
        <v>26</v>
      </c>
      <c r="H637" s="2">
        <v>3124.87</v>
      </c>
      <c r="I637" s="2">
        <v>3383.67</v>
      </c>
      <c r="J637" t="s">
        <v>27</v>
      </c>
      <c r="K637">
        <v>0.05</v>
      </c>
      <c r="L637" t="s">
        <v>28</v>
      </c>
      <c r="M637" t="s">
        <v>32</v>
      </c>
      <c r="N637" t="s">
        <v>34</v>
      </c>
      <c r="O637" s="2">
        <f>_Salesdata[[#This Row],[Unit_Price]] * _Salesdata[[#This Row],[Quantity_Sold]]</f>
        <v>98126.430000000008</v>
      </c>
      <c r="P637" s="2">
        <f>_Salesdata[[#This Row],[Unit_Cost]] * _Salesdata[[#This Row],[Quantity_Sold]]</f>
        <v>90621.23</v>
      </c>
      <c r="Q637" s="2">
        <f>_Salesdata[[#This Row],[Gross_Sales]] - _Salesdata[[#This Row],[Total Cost]]</f>
        <v>7505.2000000000116</v>
      </c>
      <c r="R637" s="2"/>
    </row>
    <row r="638" spans="1:18" x14ac:dyDescent="0.25">
      <c r="A638">
        <v>1030</v>
      </c>
      <c r="B638" s="1">
        <v>45143</v>
      </c>
      <c r="C638" t="s">
        <v>17</v>
      </c>
      <c r="D638" t="s">
        <v>25</v>
      </c>
      <c r="E638" s="2">
        <v>9733.4599999999991</v>
      </c>
      <c r="F638">
        <v>34</v>
      </c>
      <c r="G638" t="s">
        <v>26</v>
      </c>
      <c r="H638" s="2">
        <v>3125.07</v>
      </c>
      <c r="I638" s="2">
        <v>3564.19</v>
      </c>
      <c r="J638" t="s">
        <v>20</v>
      </c>
      <c r="K638">
        <v>0.09</v>
      </c>
      <c r="L638" t="s">
        <v>21</v>
      </c>
      <c r="M638" t="s">
        <v>22</v>
      </c>
      <c r="N638" t="s">
        <v>34</v>
      </c>
      <c r="O638" s="2">
        <f>_Salesdata[[#This Row],[Unit_Price]] * _Salesdata[[#This Row],[Quantity_Sold]]</f>
        <v>121182.46</v>
      </c>
      <c r="P638" s="2">
        <f>_Salesdata[[#This Row],[Unit_Cost]] * _Salesdata[[#This Row],[Quantity_Sold]]</f>
        <v>106252.38</v>
      </c>
      <c r="Q638" s="2">
        <f>_Salesdata[[#This Row],[Gross_Sales]] - _Salesdata[[#This Row],[Total Cost]]</f>
        <v>14930.080000000002</v>
      </c>
      <c r="R638" s="2"/>
    </row>
    <row r="639" spans="1:18" x14ac:dyDescent="0.25">
      <c r="A639">
        <v>1012</v>
      </c>
      <c r="B639" s="1">
        <v>44939</v>
      </c>
      <c r="C639" t="s">
        <v>24</v>
      </c>
      <c r="D639" t="s">
        <v>18</v>
      </c>
      <c r="E639" s="2">
        <v>8892.3700000000008</v>
      </c>
      <c r="F639">
        <v>39</v>
      </c>
      <c r="G639" t="s">
        <v>39</v>
      </c>
      <c r="H639" s="2">
        <v>3126.52</v>
      </c>
      <c r="I639" s="2">
        <v>3465.79</v>
      </c>
      <c r="J639" t="s">
        <v>27</v>
      </c>
      <c r="K639">
        <v>0.08</v>
      </c>
      <c r="L639" t="s">
        <v>21</v>
      </c>
      <c r="M639" t="s">
        <v>22</v>
      </c>
      <c r="N639" t="s">
        <v>46</v>
      </c>
      <c r="O639" s="2">
        <f>_Salesdata[[#This Row],[Unit_Price]] * _Salesdata[[#This Row],[Quantity_Sold]]</f>
        <v>135165.81</v>
      </c>
      <c r="P639" s="2">
        <f>_Salesdata[[#This Row],[Unit_Cost]] * _Salesdata[[#This Row],[Quantity_Sold]]</f>
        <v>121934.28</v>
      </c>
      <c r="Q639" s="2">
        <f>_Salesdata[[#This Row],[Gross_Sales]] - _Salesdata[[#This Row],[Total Cost]]</f>
        <v>13231.529999999999</v>
      </c>
      <c r="R639" s="2"/>
    </row>
    <row r="640" spans="1:18" x14ac:dyDescent="0.25">
      <c r="A640">
        <v>1052</v>
      </c>
      <c r="B640" s="1">
        <v>45211</v>
      </c>
      <c r="C640" t="s">
        <v>30</v>
      </c>
      <c r="D640" t="s">
        <v>37</v>
      </c>
      <c r="E640" s="2">
        <v>7444.77</v>
      </c>
      <c r="F640">
        <v>46</v>
      </c>
      <c r="G640" t="s">
        <v>26</v>
      </c>
      <c r="H640" s="2">
        <v>3136.42</v>
      </c>
      <c r="I640" s="2">
        <v>3198.49</v>
      </c>
      <c r="J640" t="s">
        <v>20</v>
      </c>
      <c r="K640">
        <v>0.28999999999999998</v>
      </c>
      <c r="L640" t="s">
        <v>21</v>
      </c>
      <c r="M640" t="s">
        <v>32</v>
      </c>
      <c r="N640" t="s">
        <v>51</v>
      </c>
      <c r="O640" s="2">
        <f>_Salesdata[[#This Row],[Unit_Price]] * _Salesdata[[#This Row],[Quantity_Sold]]</f>
        <v>147130.53999999998</v>
      </c>
      <c r="P640" s="2">
        <f>_Salesdata[[#This Row],[Unit_Cost]] * _Salesdata[[#This Row],[Quantity_Sold]]</f>
        <v>144275.32</v>
      </c>
      <c r="Q640" s="2">
        <f>_Salesdata[[#This Row],[Gross_Sales]] - _Salesdata[[#This Row],[Total Cost]]</f>
        <v>2855.2199999999721</v>
      </c>
      <c r="R640" s="2"/>
    </row>
    <row r="641" spans="1:18" x14ac:dyDescent="0.25">
      <c r="A641">
        <v>1087</v>
      </c>
      <c r="B641" s="1">
        <v>45226</v>
      </c>
      <c r="C641" t="s">
        <v>48</v>
      </c>
      <c r="D641" t="s">
        <v>37</v>
      </c>
      <c r="E641" s="2">
        <v>1515.71</v>
      </c>
      <c r="F641">
        <v>27</v>
      </c>
      <c r="G641" t="s">
        <v>31</v>
      </c>
      <c r="H641" s="2">
        <v>3139.36</v>
      </c>
      <c r="I641" s="2">
        <v>3423.66</v>
      </c>
      <c r="J641" t="s">
        <v>27</v>
      </c>
      <c r="K641">
        <v>0.18</v>
      </c>
      <c r="L641" t="s">
        <v>28</v>
      </c>
      <c r="M641" t="s">
        <v>22</v>
      </c>
      <c r="N641" t="s">
        <v>52</v>
      </c>
      <c r="O641" s="2">
        <f>_Salesdata[[#This Row],[Unit_Price]] * _Salesdata[[#This Row],[Quantity_Sold]]</f>
        <v>92438.819999999992</v>
      </c>
      <c r="P641" s="2">
        <f>_Salesdata[[#This Row],[Unit_Cost]] * _Salesdata[[#This Row],[Quantity_Sold]]</f>
        <v>84762.72</v>
      </c>
      <c r="Q641" s="2">
        <f>_Salesdata[[#This Row],[Gross_Sales]] - _Salesdata[[#This Row],[Total Cost]]</f>
        <v>7676.0999999999913</v>
      </c>
      <c r="R641" s="2"/>
    </row>
    <row r="642" spans="1:18" x14ac:dyDescent="0.25">
      <c r="A642">
        <v>1048</v>
      </c>
      <c r="B642" s="1">
        <v>45214</v>
      </c>
      <c r="C642" t="s">
        <v>35</v>
      </c>
      <c r="D642" t="s">
        <v>37</v>
      </c>
      <c r="E642" s="2">
        <v>4510.8599999999997</v>
      </c>
      <c r="F642">
        <v>42</v>
      </c>
      <c r="G642" t="s">
        <v>26</v>
      </c>
      <c r="H642" s="2">
        <v>3139.99</v>
      </c>
      <c r="I642" s="2">
        <v>3349.37</v>
      </c>
      <c r="J642" t="s">
        <v>20</v>
      </c>
      <c r="K642">
        <v>0.13</v>
      </c>
      <c r="L642" t="s">
        <v>28</v>
      </c>
      <c r="M642" t="s">
        <v>32</v>
      </c>
      <c r="N642" t="s">
        <v>38</v>
      </c>
      <c r="O642" s="2">
        <f>_Salesdata[[#This Row],[Unit_Price]] * _Salesdata[[#This Row],[Quantity_Sold]]</f>
        <v>140673.54</v>
      </c>
      <c r="P642" s="2">
        <f>_Salesdata[[#This Row],[Unit_Cost]] * _Salesdata[[#This Row],[Quantity_Sold]]</f>
        <v>131879.57999999999</v>
      </c>
      <c r="Q642" s="2">
        <f>_Salesdata[[#This Row],[Gross_Sales]] - _Salesdata[[#This Row],[Total Cost]]</f>
        <v>8793.960000000021</v>
      </c>
      <c r="R642" s="2"/>
    </row>
    <row r="643" spans="1:18" x14ac:dyDescent="0.25">
      <c r="A643">
        <v>1016</v>
      </c>
      <c r="B643" s="1">
        <v>45102</v>
      </c>
      <c r="C643" t="s">
        <v>24</v>
      </c>
      <c r="D643" t="s">
        <v>25</v>
      </c>
      <c r="E643" s="2">
        <v>5401.98</v>
      </c>
      <c r="F643">
        <v>2</v>
      </c>
      <c r="G643" t="s">
        <v>26</v>
      </c>
      <c r="H643" s="2">
        <v>3144.82</v>
      </c>
      <c r="I643" s="2">
        <v>3480.58</v>
      </c>
      <c r="J643" t="s">
        <v>20</v>
      </c>
      <c r="K643">
        <v>0.12</v>
      </c>
      <c r="L643" t="s">
        <v>21</v>
      </c>
      <c r="M643" t="s">
        <v>32</v>
      </c>
      <c r="N643" t="s">
        <v>29</v>
      </c>
      <c r="O643" s="2">
        <f>_Salesdata[[#This Row],[Unit_Price]] * _Salesdata[[#This Row],[Quantity_Sold]]</f>
        <v>6961.16</v>
      </c>
      <c r="P643" s="2">
        <f>_Salesdata[[#This Row],[Unit_Cost]] * _Salesdata[[#This Row],[Quantity_Sold]]</f>
        <v>6289.64</v>
      </c>
      <c r="Q643" s="2">
        <f>_Salesdata[[#This Row],[Gross_Sales]] - _Salesdata[[#This Row],[Total Cost]]</f>
        <v>671.51999999999953</v>
      </c>
      <c r="R643" s="2"/>
    </row>
    <row r="644" spans="1:18" x14ac:dyDescent="0.25">
      <c r="A644">
        <v>1028</v>
      </c>
      <c r="B644" s="1">
        <v>45087</v>
      </c>
      <c r="C644" t="s">
        <v>24</v>
      </c>
      <c r="D644" t="s">
        <v>37</v>
      </c>
      <c r="E644" s="2">
        <v>7987.15</v>
      </c>
      <c r="F644">
        <v>2</v>
      </c>
      <c r="G644" t="s">
        <v>39</v>
      </c>
      <c r="H644" s="2">
        <v>3146.12</v>
      </c>
      <c r="I644" s="2">
        <v>3255.5299999999902</v>
      </c>
      <c r="J644" t="s">
        <v>20</v>
      </c>
      <c r="K644">
        <v>0.06</v>
      </c>
      <c r="L644" t="s">
        <v>44</v>
      </c>
      <c r="M644" t="s">
        <v>22</v>
      </c>
      <c r="N644" t="s">
        <v>53</v>
      </c>
      <c r="O644" s="2">
        <f>_Salesdata[[#This Row],[Unit_Price]] * _Salesdata[[#This Row],[Quantity_Sold]]</f>
        <v>6511.0599999999804</v>
      </c>
      <c r="P644" s="2">
        <f>_Salesdata[[#This Row],[Unit_Cost]] * _Salesdata[[#This Row],[Quantity_Sold]]</f>
        <v>6292.24</v>
      </c>
      <c r="Q644" s="2">
        <f>_Salesdata[[#This Row],[Gross_Sales]] - _Salesdata[[#This Row],[Total Cost]]</f>
        <v>218.81999999998061</v>
      </c>
      <c r="R644" s="2"/>
    </row>
    <row r="645" spans="1:18" x14ac:dyDescent="0.25">
      <c r="A645">
        <v>1095</v>
      </c>
      <c r="B645" s="1">
        <v>45041</v>
      </c>
      <c r="C645" t="s">
        <v>17</v>
      </c>
      <c r="D645" t="s">
        <v>40</v>
      </c>
      <c r="E645" s="2">
        <v>9805.65</v>
      </c>
      <c r="F645">
        <v>10</v>
      </c>
      <c r="G645" t="s">
        <v>26</v>
      </c>
      <c r="H645" s="2">
        <v>3155.97</v>
      </c>
      <c r="I645" s="2">
        <v>3263.49</v>
      </c>
      <c r="J645" t="s">
        <v>20</v>
      </c>
      <c r="K645">
        <v>0.04</v>
      </c>
      <c r="L645" t="s">
        <v>28</v>
      </c>
      <c r="M645" t="s">
        <v>22</v>
      </c>
      <c r="N645" t="s">
        <v>42</v>
      </c>
      <c r="O645" s="2">
        <f>_Salesdata[[#This Row],[Unit_Price]] * _Salesdata[[#This Row],[Quantity_Sold]]</f>
        <v>32634.899999999998</v>
      </c>
      <c r="P645" s="2">
        <f>_Salesdata[[#This Row],[Unit_Cost]] * _Salesdata[[#This Row],[Quantity_Sold]]</f>
        <v>31559.699999999997</v>
      </c>
      <c r="Q645" s="2">
        <f>_Salesdata[[#This Row],[Gross_Sales]] - _Salesdata[[#This Row],[Total Cost]]</f>
        <v>1075.2000000000007</v>
      </c>
      <c r="R645" s="2"/>
    </row>
    <row r="646" spans="1:18" x14ac:dyDescent="0.25">
      <c r="A646">
        <v>1058</v>
      </c>
      <c r="B646" s="1">
        <v>45289</v>
      </c>
      <c r="C646" t="s">
        <v>30</v>
      </c>
      <c r="D646" t="s">
        <v>37</v>
      </c>
      <c r="E646" s="2">
        <v>2714.21</v>
      </c>
      <c r="F646">
        <v>34</v>
      </c>
      <c r="G646" t="s">
        <v>26</v>
      </c>
      <c r="H646" s="2">
        <v>3160.61</v>
      </c>
      <c r="I646" s="2">
        <v>3273.22</v>
      </c>
      <c r="J646" t="s">
        <v>20</v>
      </c>
      <c r="K646">
        <v>0.08</v>
      </c>
      <c r="L646" t="s">
        <v>28</v>
      </c>
      <c r="M646" t="s">
        <v>32</v>
      </c>
      <c r="N646" t="s">
        <v>51</v>
      </c>
      <c r="O646" s="2">
        <f>_Salesdata[[#This Row],[Unit_Price]] * _Salesdata[[#This Row],[Quantity_Sold]]</f>
        <v>111289.48</v>
      </c>
      <c r="P646" s="2">
        <f>_Salesdata[[#This Row],[Unit_Cost]] * _Salesdata[[#This Row],[Quantity_Sold]]</f>
        <v>107460.74</v>
      </c>
      <c r="Q646" s="2">
        <f>_Salesdata[[#This Row],[Gross_Sales]] - _Salesdata[[#This Row],[Total Cost]]</f>
        <v>3828.7399999999907</v>
      </c>
      <c r="R646" s="2"/>
    </row>
    <row r="647" spans="1:18" x14ac:dyDescent="0.25">
      <c r="A647">
        <v>1018</v>
      </c>
      <c r="B647" s="1">
        <v>45150</v>
      </c>
      <c r="C647" t="s">
        <v>35</v>
      </c>
      <c r="D647" t="s">
        <v>37</v>
      </c>
      <c r="E647" s="2">
        <v>2835.56</v>
      </c>
      <c r="F647">
        <v>9</v>
      </c>
      <c r="G647" t="s">
        <v>26</v>
      </c>
      <c r="H647" s="2">
        <v>3161.09</v>
      </c>
      <c r="I647" s="2">
        <v>3216.42</v>
      </c>
      <c r="J647" t="s">
        <v>27</v>
      </c>
      <c r="K647">
        <v>0.17</v>
      </c>
      <c r="L647" t="s">
        <v>44</v>
      </c>
      <c r="M647" t="s">
        <v>22</v>
      </c>
      <c r="N647" t="s">
        <v>38</v>
      </c>
      <c r="O647" s="2">
        <f>_Salesdata[[#This Row],[Unit_Price]] * _Salesdata[[#This Row],[Quantity_Sold]]</f>
        <v>28947.78</v>
      </c>
      <c r="P647" s="2">
        <f>_Salesdata[[#This Row],[Unit_Cost]] * _Salesdata[[#This Row],[Quantity_Sold]]</f>
        <v>28449.81</v>
      </c>
      <c r="Q647" s="2">
        <f>_Salesdata[[#This Row],[Gross_Sales]] - _Salesdata[[#This Row],[Total Cost]]</f>
        <v>497.96999999999753</v>
      </c>
      <c r="R647" s="2"/>
    </row>
    <row r="648" spans="1:18" x14ac:dyDescent="0.25">
      <c r="A648">
        <v>1060</v>
      </c>
      <c r="B648" s="1">
        <v>45059</v>
      </c>
      <c r="C648" t="s">
        <v>35</v>
      </c>
      <c r="D648" t="s">
        <v>25</v>
      </c>
      <c r="E648" s="2">
        <v>5260.83</v>
      </c>
      <c r="F648">
        <v>31</v>
      </c>
      <c r="G648" t="s">
        <v>26</v>
      </c>
      <c r="H648" s="2">
        <v>3161.4</v>
      </c>
      <c r="I648" s="2">
        <v>3339.66</v>
      </c>
      <c r="J648" t="s">
        <v>20</v>
      </c>
      <c r="K648">
        <v>0.02</v>
      </c>
      <c r="L648" t="s">
        <v>44</v>
      </c>
      <c r="M648" t="s">
        <v>22</v>
      </c>
      <c r="N648" t="s">
        <v>56</v>
      </c>
      <c r="O648" s="2">
        <f>_Salesdata[[#This Row],[Unit_Price]] * _Salesdata[[#This Row],[Quantity_Sold]]</f>
        <v>103529.45999999999</v>
      </c>
      <c r="P648" s="2">
        <f>_Salesdata[[#This Row],[Unit_Cost]] * _Salesdata[[#This Row],[Quantity_Sold]]</f>
        <v>98003.400000000009</v>
      </c>
      <c r="Q648" s="2">
        <f>_Salesdata[[#This Row],[Gross_Sales]] - _Salesdata[[#This Row],[Total Cost]]</f>
        <v>5526.0599999999831</v>
      </c>
      <c r="R648" s="2"/>
    </row>
    <row r="649" spans="1:18" x14ac:dyDescent="0.25">
      <c r="A649">
        <v>1033</v>
      </c>
      <c r="B649" s="1">
        <v>45035</v>
      </c>
      <c r="C649" t="s">
        <v>17</v>
      </c>
      <c r="D649" t="s">
        <v>40</v>
      </c>
      <c r="E649" s="2">
        <v>2758.48</v>
      </c>
      <c r="F649">
        <v>5</v>
      </c>
      <c r="G649" t="s">
        <v>39</v>
      </c>
      <c r="H649" s="2">
        <v>3162.92</v>
      </c>
      <c r="I649" s="2">
        <v>3409.93</v>
      </c>
      <c r="J649" t="s">
        <v>27</v>
      </c>
      <c r="K649">
        <v>0</v>
      </c>
      <c r="L649" t="s">
        <v>21</v>
      </c>
      <c r="M649" t="s">
        <v>22</v>
      </c>
      <c r="N649" t="s">
        <v>42</v>
      </c>
      <c r="O649" s="2">
        <f>_Salesdata[[#This Row],[Unit_Price]] * _Salesdata[[#This Row],[Quantity_Sold]]</f>
        <v>17049.649999999998</v>
      </c>
      <c r="P649" s="2">
        <f>_Salesdata[[#This Row],[Unit_Cost]] * _Salesdata[[#This Row],[Quantity_Sold]]</f>
        <v>15814.6</v>
      </c>
      <c r="Q649" s="2">
        <f>_Salesdata[[#This Row],[Gross_Sales]] - _Salesdata[[#This Row],[Total Cost]]</f>
        <v>1235.0499999999975</v>
      </c>
      <c r="R649" s="2"/>
    </row>
    <row r="650" spans="1:18" x14ac:dyDescent="0.25">
      <c r="A650">
        <v>1068</v>
      </c>
      <c r="B650" s="1">
        <v>45022</v>
      </c>
      <c r="C650" t="s">
        <v>24</v>
      </c>
      <c r="D650" t="s">
        <v>40</v>
      </c>
      <c r="E650" s="2">
        <v>9093.5</v>
      </c>
      <c r="F650">
        <v>31</v>
      </c>
      <c r="G650" t="s">
        <v>19</v>
      </c>
      <c r="H650" s="2">
        <v>3169.37</v>
      </c>
      <c r="I650" s="2">
        <v>3304.15</v>
      </c>
      <c r="J650" t="s">
        <v>20</v>
      </c>
      <c r="K650">
        <v>0.25</v>
      </c>
      <c r="L650" t="s">
        <v>28</v>
      </c>
      <c r="M650" t="s">
        <v>32</v>
      </c>
      <c r="N650" t="s">
        <v>55</v>
      </c>
      <c r="O650" s="2">
        <f>_Salesdata[[#This Row],[Unit_Price]] * _Salesdata[[#This Row],[Quantity_Sold]]</f>
        <v>102428.65000000001</v>
      </c>
      <c r="P650" s="2">
        <f>_Salesdata[[#This Row],[Unit_Cost]] * _Salesdata[[#This Row],[Quantity_Sold]]</f>
        <v>98250.47</v>
      </c>
      <c r="Q650" s="2">
        <f>_Salesdata[[#This Row],[Gross_Sales]] - _Salesdata[[#This Row],[Total Cost]]</f>
        <v>4178.1800000000076</v>
      </c>
      <c r="R650" s="2"/>
    </row>
    <row r="651" spans="1:18" x14ac:dyDescent="0.25">
      <c r="A651">
        <v>1074</v>
      </c>
      <c r="B651" s="1">
        <v>45073</v>
      </c>
      <c r="C651" t="s">
        <v>48</v>
      </c>
      <c r="D651" t="s">
        <v>25</v>
      </c>
      <c r="E651" s="2">
        <v>6710.83</v>
      </c>
      <c r="F651">
        <v>2</v>
      </c>
      <c r="G651" t="s">
        <v>31</v>
      </c>
      <c r="H651" s="2">
        <v>3173.69</v>
      </c>
      <c r="I651" s="2">
        <v>3503.11</v>
      </c>
      <c r="J651" t="s">
        <v>27</v>
      </c>
      <c r="K651">
        <v>0.2</v>
      </c>
      <c r="L651" t="s">
        <v>44</v>
      </c>
      <c r="M651" t="s">
        <v>32</v>
      </c>
      <c r="N651" t="s">
        <v>49</v>
      </c>
      <c r="O651" s="2">
        <f>_Salesdata[[#This Row],[Unit_Price]] * _Salesdata[[#This Row],[Quantity_Sold]]</f>
        <v>7006.22</v>
      </c>
      <c r="P651" s="2">
        <f>_Salesdata[[#This Row],[Unit_Cost]] * _Salesdata[[#This Row],[Quantity_Sold]]</f>
        <v>6347.38</v>
      </c>
      <c r="Q651" s="2">
        <f>_Salesdata[[#This Row],[Gross_Sales]] - _Salesdata[[#This Row],[Total Cost]]</f>
        <v>658.84000000000015</v>
      </c>
      <c r="R651" s="2"/>
    </row>
    <row r="652" spans="1:18" x14ac:dyDescent="0.25">
      <c r="A652">
        <v>1078</v>
      </c>
      <c r="B652" s="1">
        <v>45089</v>
      </c>
      <c r="C652" t="s">
        <v>35</v>
      </c>
      <c r="D652" t="s">
        <v>40</v>
      </c>
      <c r="E652" s="2">
        <v>6136</v>
      </c>
      <c r="F652">
        <v>29</v>
      </c>
      <c r="G652" t="s">
        <v>26</v>
      </c>
      <c r="H652" s="2">
        <v>3177.81</v>
      </c>
      <c r="I652" s="2">
        <v>3222.65</v>
      </c>
      <c r="J652" t="s">
        <v>20</v>
      </c>
      <c r="K652">
        <v>0.08</v>
      </c>
      <c r="L652" t="s">
        <v>28</v>
      </c>
      <c r="M652" t="s">
        <v>32</v>
      </c>
      <c r="N652" t="s">
        <v>43</v>
      </c>
      <c r="O652" s="2">
        <f>_Salesdata[[#This Row],[Unit_Price]] * _Salesdata[[#This Row],[Quantity_Sold]]</f>
        <v>93456.85</v>
      </c>
      <c r="P652" s="2">
        <f>_Salesdata[[#This Row],[Unit_Cost]] * _Salesdata[[#This Row],[Quantity_Sold]]</f>
        <v>92156.49</v>
      </c>
      <c r="Q652" s="2">
        <f>_Salesdata[[#This Row],[Gross_Sales]] - _Salesdata[[#This Row],[Total Cost]]</f>
        <v>1300.3600000000006</v>
      </c>
      <c r="R652" s="2"/>
    </row>
    <row r="653" spans="1:18" x14ac:dyDescent="0.25">
      <c r="A653">
        <v>1014</v>
      </c>
      <c r="B653" s="1">
        <v>45252</v>
      </c>
      <c r="C653" t="s">
        <v>30</v>
      </c>
      <c r="D653" t="s">
        <v>25</v>
      </c>
      <c r="E653" s="2">
        <v>9762.5400000000009</v>
      </c>
      <c r="F653">
        <v>17</v>
      </c>
      <c r="G653" t="s">
        <v>31</v>
      </c>
      <c r="H653" s="2">
        <v>3184.65</v>
      </c>
      <c r="I653" s="2">
        <v>3204.01</v>
      </c>
      <c r="J653" t="s">
        <v>27</v>
      </c>
      <c r="K653">
        <v>0.2</v>
      </c>
      <c r="L653" t="s">
        <v>44</v>
      </c>
      <c r="M653" t="s">
        <v>22</v>
      </c>
      <c r="N653" t="s">
        <v>45</v>
      </c>
      <c r="O653" s="2">
        <f>_Salesdata[[#This Row],[Unit_Price]] * _Salesdata[[#This Row],[Quantity_Sold]]</f>
        <v>54468.170000000006</v>
      </c>
      <c r="P653" s="2">
        <f>_Salesdata[[#This Row],[Unit_Cost]] * _Salesdata[[#This Row],[Quantity_Sold]]</f>
        <v>54139.05</v>
      </c>
      <c r="Q653" s="2">
        <f>_Salesdata[[#This Row],[Gross_Sales]] - _Salesdata[[#This Row],[Total Cost]]</f>
        <v>329.12000000000262</v>
      </c>
      <c r="R653" s="2"/>
    </row>
    <row r="654" spans="1:18" x14ac:dyDescent="0.25">
      <c r="A654">
        <v>1095</v>
      </c>
      <c r="B654" s="1">
        <v>45268</v>
      </c>
      <c r="C654" t="s">
        <v>48</v>
      </c>
      <c r="D654" t="s">
        <v>18</v>
      </c>
      <c r="E654" s="2">
        <v>3801.82</v>
      </c>
      <c r="F654">
        <v>4</v>
      </c>
      <c r="G654" t="s">
        <v>19</v>
      </c>
      <c r="H654" s="2">
        <v>3191.05</v>
      </c>
      <c r="I654" s="2">
        <v>3555.35</v>
      </c>
      <c r="J654" t="s">
        <v>27</v>
      </c>
      <c r="K654">
        <v>0.28000000000000003</v>
      </c>
      <c r="L654" t="s">
        <v>28</v>
      </c>
      <c r="M654" t="s">
        <v>22</v>
      </c>
      <c r="N654" t="s">
        <v>54</v>
      </c>
      <c r="O654" s="2">
        <f>_Salesdata[[#This Row],[Unit_Price]] * _Salesdata[[#This Row],[Quantity_Sold]]</f>
        <v>14221.4</v>
      </c>
      <c r="P654" s="2">
        <f>_Salesdata[[#This Row],[Unit_Cost]] * _Salesdata[[#This Row],[Quantity_Sold]]</f>
        <v>12764.2</v>
      </c>
      <c r="Q654" s="2">
        <f>_Salesdata[[#This Row],[Gross_Sales]] - _Salesdata[[#This Row],[Total Cost]]</f>
        <v>1457.1999999999989</v>
      </c>
      <c r="R654" s="2"/>
    </row>
    <row r="655" spans="1:18" x14ac:dyDescent="0.25">
      <c r="A655">
        <v>1029</v>
      </c>
      <c r="B655" s="1">
        <v>45096</v>
      </c>
      <c r="C655" t="s">
        <v>48</v>
      </c>
      <c r="D655" t="s">
        <v>40</v>
      </c>
      <c r="E655" s="2">
        <v>8064.5</v>
      </c>
      <c r="F655">
        <v>27</v>
      </c>
      <c r="G655" t="s">
        <v>31</v>
      </c>
      <c r="H655" s="2">
        <v>3196.38</v>
      </c>
      <c r="I655" s="2">
        <v>3596.64</v>
      </c>
      <c r="J655" t="s">
        <v>27</v>
      </c>
      <c r="K655">
        <v>0.01</v>
      </c>
      <c r="L655" t="s">
        <v>21</v>
      </c>
      <c r="M655" t="s">
        <v>32</v>
      </c>
      <c r="N655" t="s">
        <v>50</v>
      </c>
      <c r="O655" s="2">
        <f>_Salesdata[[#This Row],[Unit_Price]] * _Salesdata[[#This Row],[Quantity_Sold]]</f>
        <v>97109.28</v>
      </c>
      <c r="P655" s="2">
        <f>_Salesdata[[#This Row],[Unit_Cost]] * _Salesdata[[#This Row],[Quantity_Sold]]</f>
        <v>86302.260000000009</v>
      </c>
      <c r="Q655" s="2">
        <f>_Salesdata[[#This Row],[Gross_Sales]] - _Salesdata[[#This Row],[Total Cost]]</f>
        <v>10807.01999999999</v>
      </c>
      <c r="R655" s="2"/>
    </row>
    <row r="656" spans="1:18" x14ac:dyDescent="0.25">
      <c r="A656">
        <v>1048</v>
      </c>
      <c r="B656" s="1">
        <v>44965</v>
      </c>
      <c r="C656" t="s">
        <v>35</v>
      </c>
      <c r="D656" t="s">
        <v>25</v>
      </c>
      <c r="E656" s="2">
        <v>7454.53</v>
      </c>
      <c r="F656">
        <v>27</v>
      </c>
      <c r="G656" t="s">
        <v>19</v>
      </c>
      <c r="H656" s="2">
        <v>3197.76</v>
      </c>
      <c r="I656" s="2">
        <v>3572.61</v>
      </c>
      <c r="J656" t="s">
        <v>20</v>
      </c>
      <c r="K656">
        <v>0.08</v>
      </c>
      <c r="L656" t="s">
        <v>28</v>
      </c>
      <c r="M656" t="s">
        <v>22</v>
      </c>
      <c r="N656" t="s">
        <v>56</v>
      </c>
      <c r="O656" s="2">
        <f>_Salesdata[[#This Row],[Unit_Price]] * _Salesdata[[#This Row],[Quantity_Sold]]</f>
        <v>96460.47</v>
      </c>
      <c r="P656" s="2">
        <f>_Salesdata[[#This Row],[Unit_Cost]] * _Salesdata[[#This Row],[Quantity_Sold]]</f>
        <v>86339.520000000004</v>
      </c>
      <c r="Q656" s="2">
        <f>_Salesdata[[#This Row],[Gross_Sales]] - _Salesdata[[#This Row],[Total Cost]]</f>
        <v>10120.949999999997</v>
      </c>
      <c r="R656" s="2"/>
    </row>
    <row r="657" spans="1:18" x14ac:dyDescent="0.25">
      <c r="A657">
        <v>1009</v>
      </c>
      <c r="B657" s="1">
        <v>45024</v>
      </c>
      <c r="C657" t="s">
        <v>35</v>
      </c>
      <c r="D657" t="s">
        <v>40</v>
      </c>
      <c r="E657" s="2">
        <v>2945.87</v>
      </c>
      <c r="F657">
        <v>32</v>
      </c>
      <c r="G657" t="s">
        <v>19</v>
      </c>
      <c r="H657" s="2">
        <v>3219.88</v>
      </c>
      <c r="I657" s="2">
        <v>3384.5</v>
      </c>
      <c r="J657" t="s">
        <v>20</v>
      </c>
      <c r="K657">
        <v>0.14000000000000001</v>
      </c>
      <c r="L657" t="s">
        <v>21</v>
      </c>
      <c r="M657" t="s">
        <v>32</v>
      </c>
      <c r="N657" t="s">
        <v>43</v>
      </c>
      <c r="O657" s="2">
        <f>_Salesdata[[#This Row],[Unit_Price]] * _Salesdata[[#This Row],[Quantity_Sold]]</f>
        <v>108304</v>
      </c>
      <c r="P657" s="2">
        <f>_Salesdata[[#This Row],[Unit_Cost]] * _Salesdata[[#This Row],[Quantity_Sold]]</f>
        <v>103036.16</v>
      </c>
      <c r="Q657" s="2">
        <f>_Salesdata[[#This Row],[Gross_Sales]] - _Salesdata[[#This Row],[Total Cost]]</f>
        <v>5267.8399999999965</v>
      </c>
      <c r="R657" s="2"/>
    </row>
    <row r="658" spans="1:18" x14ac:dyDescent="0.25">
      <c r="A658">
        <v>1009</v>
      </c>
      <c r="B658" s="1">
        <v>44989</v>
      </c>
      <c r="C658" t="s">
        <v>30</v>
      </c>
      <c r="D658" t="s">
        <v>18</v>
      </c>
      <c r="E658" s="2">
        <v>198.79</v>
      </c>
      <c r="F658">
        <v>1</v>
      </c>
      <c r="G658" t="s">
        <v>19</v>
      </c>
      <c r="H658" s="2">
        <v>3223.07</v>
      </c>
      <c r="I658" s="2">
        <v>3590.83</v>
      </c>
      <c r="J658" t="s">
        <v>27</v>
      </c>
      <c r="K658">
        <v>0.19</v>
      </c>
      <c r="L658" t="s">
        <v>44</v>
      </c>
      <c r="M658" t="s">
        <v>32</v>
      </c>
      <c r="N658" t="s">
        <v>33</v>
      </c>
      <c r="O658" s="2">
        <f>_Salesdata[[#This Row],[Unit_Price]] * _Salesdata[[#This Row],[Quantity_Sold]]</f>
        <v>3590.83</v>
      </c>
      <c r="P658" s="2">
        <f>_Salesdata[[#This Row],[Unit_Cost]] * _Salesdata[[#This Row],[Quantity_Sold]]</f>
        <v>3223.07</v>
      </c>
      <c r="Q658" s="2">
        <f>_Salesdata[[#This Row],[Gross_Sales]] - _Salesdata[[#This Row],[Total Cost]]</f>
        <v>367.75999999999976</v>
      </c>
      <c r="R658" s="2"/>
    </row>
    <row r="659" spans="1:18" x14ac:dyDescent="0.25">
      <c r="A659">
        <v>1057</v>
      </c>
      <c r="B659" s="1">
        <v>45221</v>
      </c>
      <c r="C659" t="s">
        <v>48</v>
      </c>
      <c r="D659" t="s">
        <v>40</v>
      </c>
      <c r="E659" s="2">
        <v>3297.97</v>
      </c>
      <c r="F659">
        <v>40</v>
      </c>
      <c r="G659" t="s">
        <v>19</v>
      </c>
      <c r="H659" s="2">
        <v>3233.37</v>
      </c>
      <c r="I659" s="2">
        <v>3723.21</v>
      </c>
      <c r="J659" t="s">
        <v>27</v>
      </c>
      <c r="K659">
        <v>0.22</v>
      </c>
      <c r="L659" t="s">
        <v>44</v>
      </c>
      <c r="M659" t="s">
        <v>32</v>
      </c>
      <c r="N659" t="s">
        <v>50</v>
      </c>
      <c r="O659" s="2">
        <f>_Salesdata[[#This Row],[Unit_Price]] * _Salesdata[[#This Row],[Quantity_Sold]]</f>
        <v>148928.4</v>
      </c>
      <c r="P659" s="2">
        <f>_Salesdata[[#This Row],[Unit_Cost]] * _Salesdata[[#This Row],[Quantity_Sold]]</f>
        <v>129334.79999999999</v>
      </c>
      <c r="Q659" s="2">
        <f>_Salesdata[[#This Row],[Gross_Sales]] - _Salesdata[[#This Row],[Total Cost]]</f>
        <v>19593.600000000006</v>
      </c>
      <c r="R659" s="2"/>
    </row>
    <row r="660" spans="1:18" x14ac:dyDescent="0.25">
      <c r="A660">
        <v>1027</v>
      </c>
      <c r="B660" s="1">
        <v>45121</v>
      </c>
      <c r="C660" t="s">
        <v>17</v>
      </c>
      <c r="D660" t="s">
        <v>40</v>
      </c>
      <c r="E660" s="2">
        <v>6650.67</v>
      </c>
      <c r="F660">
        <v>22</v>
      </c>
      <c r="G660" t="s">
        <v>31</v>
      </c>
      <c r="H660" s="2">
        <v>3240.2</v>
      </c>
      <c r="I660" s="2">
        <v>3606.0899999999901</v>
      </c>
      <c r="J660" t="s">
        <v>27</v>
      </c>
      <c r="K660">
        <v>7.0000000000000007E-2</v>
      </c>
      <c r="L660" t="s">
        <v>21</v>
      </c>
      <c r="M660" t="s">
        <v>22</v>
      </c>
      <c r="N660" t="s">
        <v>42</v>
      </c>
      <c r="O660" s="2">
        <f>_Salesdata[[#This Row],[Unit_Price]] * _Salesdata[[#This Row],[Quantity_Sold]]</f>
        <v>79333.979999999778</v>
      </c>
      <c r="P660" s="2">
        <f>_Salesdata[[#This Row],[Unit_Cost]] * _Salesdata[[#This Row],[Quantity_Sold]]</f>
        <v>71284.399999999994</v>
      </c>
      <c r="Q660" s="2">
        <f>_Salesdata[[#This Row],[Gross_Sales]] - _Salesdata[[#This Row],[Total Cost]]</f>
        <v>8049.5799999997835</v>
      </c>
      <c r="R660" s="2"/>
    </row>
    <row r="661" spans="1:18" x14ac:dyDescent="0.25">
      <c r="A661">
        <v>1052</v>
      </c>
      <c r="B661" s="1">
        <v>45238</v>
      </c>
      <c r="C661" t="s">
        <v>35</v>
      </c>
      <c r="D661" t="s">
        <v>18</v>
      </c>
      <c r="E661" s="2">
        <v>2072.7800000000002</v>
      </c>
      <c r="F661">
        <v>18</v>
      </c>
      <c r="G661" t="s">
        <v>39</v>
      </c>
      <c r="H661" s="2">
        <v>3271.62</v>
      </c>
      <c r="I661" s="2">
        <v>3722.38</v>
      </c>
      <c r="J661" t="s">
        <v>20</v>
      </c>
      <c r="K661">
        <v>0.19</v>
      </c>
      <c r="L661" t="s">
        <v>44</v>
      </c>
      <c r="M661" t="s">
        <v>32</v>
      </c>
      <c r="N661" t="s">
        <v>36</v>
      </c>
      <c r="O661" s="2">
        <f>_Salesdata[[#This Row],[Unit_Price]] * _Salesdata[[#This Row],[Quantity_Sold]]</f>
        <v>67002.84</v>
      </c>
      <c r="P661" s="2">
        <f>_Salesdata[[#This Row],[Unit_Cost]] * _Salesdata[[#This Row],[Quantity_Sold]]</f>
        <v>58889.159999999996</v>
      </c>
      <c r="Q661" s="2">
        <f>_Salesdata[[#This Row],[Gross_Sales]] - _Salesdata[[#This Row],[Total Cost]]</f>
        <v>8113.68</v>
      </c>
      <c r="R661" s="2"/>
    </row>
    <row r="662" spans="1:18" x14ac:dyDescent="0.25">
      <c r="A662">
        <v>1001</v>
      </c>
      <c r="B662" s="1">
        <v>45142</v>
      </c>
      <c r="C662" t="s">
        <v>30</v>
      </c>
      <c r="D662" t="s">
        <v>25</v>
      </c>
      <c r="E662" s="2">
        <v>9087.6</v>
      </c>
      <c r="F662">
        <v>20</v>
      </c>
      <c r="G662" t="s">
        <v>31</v>
      </c>
      <c r="H662" s="2">
        <v>3279.76</v>
      </c>
      <c r="I662" s="2">
        <v>3563.97</v>
      </c>
      <c r="J662" t="s">
        <v>20</v>
      </c>
      <c r="K662">
        <v>0.25</v>
      </c>
      <c r="L662" t="s">
        <v>21</v>
      </c>
      <c r="M662" t="s">
        <v>32</v>
      </c>
      <c r="N662" t="s">
        <v>45</v>
      </c>
      <c r="O662" s="2">
        <f>_Salesdata[[#This Row],[Unit_Price]] * _Salesdata[[#This Row],[Quantity_Sold]]</f>
        <v>71279.399999999994</v>
      </c>
      <c r="P662" s="2">
        <f>_Salesdata[[#This Row],[Unit_Cost]] * _Salesdata[[#This Row],[Quantity_Sold]]</f>
        <v>65595.200000000012</v>
      </c>
      <c r="Q662" s="2">
        <f>_Salesdata[[#This Row],[Gross_Sales]] - _Salesdata[[#This Row],[Total Cost]]</f>
        <v>5684.1999999999825</v>
      </c>
      <c r="R662" s="2"/>
    </row>
    <row r="663" spans="1:18" x14ac:dyDescent="0.25">
      <c r="A663">
        <v>1093</v>
      </c>
      <c r="B663" s="1">
        <v>45252</v>
      </c>
      <c r="C663" t="s">
        <v>35</v>
      </c>
      <c r="D663" t="s">
        <v>37</v>
      </c>
      <c r="E663" s="2">
        <v>862.1</v>
      </c>
      <c r="F663">
        <v>22</v>
      </c>
      <c r="G663" t="s">
        <v>39</v>
      </c>
      <c r="H663" s="2">
        <v>3285.25</v>
      </c>
      <c r="I663" s="2">
        <v>3634.58</v>
      </c>
      <c r="J663" t="s">
        <v>27</v>
      </c>
      <c r="K663">
        <v>0.13</v>
      </c>
      <c r="L663" t="s">
        <v>44</v>
      </c>
      <c r="M663" t="s">
        <v>22</v>
      </c>
      <c r="N663" t="s">
        <v>38</v>
      </c>
      <c r="O663" s="2">
        <f>_Salesdata[[#This Row],[Unit_Price]] * _Salesdata[[#This Row],[Quantity_Sold]]</f>
        <v>79960.759999999995</v>
      </c>
      <c r="P663" s="2">
        <f>_Salesdata[[#This Row],[Unit_Cost]] * _Salesdata[[#This Row],[Quantity_Sold]]</f>
        <v>72275.5</v>
      </c>
      <c r="Q663" s="2">
        <f>_Salesdata[[#This Row],[Gross_Sales]] - _Salesdata[[#This Row],[Total Cost]]</f>
        <v>7685.2599999999948</v>
      </c>
      <c r="R663" s="2"/>
    </row>
    <row r="664" spans="1:18" x14ac:dyDescent="0.25">
      <c r="A664">
        <v>1003</v>
      </c>
      <c r="B664" s="1">
        <v>45183</v>
      </c>
      <c r="C664" t="s">
        <v>17</v>
      </c>
      <c r="D664" t="s">
        <v>25</v>
      </c>
      <c r="E664" s="2">
        <v>3755.88</v>
      </c>
      <c r="F664">
        <v>15</v>
      </c>
      <c r="G664" t="s">
        <v>19</v>
      </c>
      <c r="H664" s="2">
        <v>3286.24</v>
      </c>
      <c r="I664" s="2">
        <v>3388.8399999999901</v>
      </c>
      <c r="J664" t="s">
        <v>20</v>
      </c>
      <c r="K664">
        <v>0.09</v>
      </c>
      <c r="L664" t="s">
        <v>28</v>
      </c>
      <c r="M664" t="s">
        <v>32</v>
      </c>
      <c r="N664" t="s">
        <v>34</v>
      </c>
      <c r="O664" s="2">
        <f>_Salesdata[[#This Row],[Unit_Price]] * _Salesdata[[#This Row],[Quantity_Sold]]</f>
        <v>50832.599999999853</v>
      </c>
      <c r="P664" s="2">
        <f>_Salesdata[[#This Row],[Unit_Cost]] * _Salesdata[[#This Row],[Quantity_Sold]]</f>
        <v>49293.599999999999</v>
      </c>
      <c r="Q664" s="2">
        <f>_Salesdata[[#This Row],[Gross_Sales]] - _Salesdata[[#This Row],[Total Cost]]</f>
        <v>1538.9999999998545</v>
      </c>
      <c r="R664" s="2"/>
    </row>
    <row r="665" spans="1:18" x14ac:dyDescent="0.25">
      <c r="A665">
        <v>1041</v>
      </c>
      <c r="B665" s="1">
        <v>44986</v>
      </c>
      <c r="C665" t="s">
        <v>35</v>
      </c>
      <c r="D665" t="s">
        <v>18</v>
      </c>
      <c r="E665" s="2">
        <v>4170.8</v>
      </c>
      <c r="F665">
        <v>44</v>
      </c>
      <c r="G665" t="s">
        <v>26</v>
      </c>
      <c r="H665" s="2">
        <v>3288.39</v>
      </c>
      <c r="I665" s="2">
        <v>3391.46</v>
      </c>
      <c r="J665" t="s">
        <v>27</v>
      </c>
      <c r="K665">
        <v>0.05</v>
      </c>
      <c r="L665" t="s">
        <v>28</v>
      </c>
      <c r="M665" t="s">
        <v>32</v>
      </c>
      <c r="N665" t="s">
        <v>36</v>
      </c>
      <c r="O665" s="2">
        <f>_Salesdata[[#This Row],[Unit_Price]] * _Salesdata[[#This Row],[Quantity_Sold]]</f>
        <v>149224.24</v>
      </c>
      <c r="P665" s="2">
        <f>_Salesdata[[#This Row],[Unit_Cost]] * _Salesdata[[#This Row],[Quantity_Sold]]</f>
        <v>144689.16</v>
      </c>
      <c r="Q665" s="2">
        <f>_Salesdata[[#This Row],[Gross_Sales]] - _Salesdata[[#This Row],[Total Cost]]</f>
        <v>4535.0799999999872</v>
      </c>
      <c r="R665" s="2"/>
    </row>
    <row r="666" spans="1:18" x14ac:dyDescent="0.25">
      <c r="A666">
        <v>1010</v>
      </c>
      <c r="B666" s="1">
        <v>45285</v>
      </c>
      <c r="C666" t="s">
        <v>30</v>
      </c>
      <c r="D666" t="s">
        <v>40</v>
      </c>
      <c r="E666" s="2">
        <v>2418.61</v>
      </c>
      <c r="F666">
        <v>30</v>
      </c>
      <c r="G666" t="s">
        <v>31</v>
      </c>
      <c r="H666" s="2">
        <v>3289.01</v>
      </c>
      <c r="I666" s="2">
        <v>3508.14</v>
      </c>
      <c r="J666" t="s">
        <v>27</v>
      </c>
      <c r="K666">
        <v>0.17</v>
      </c>
      <c r="L666" t="s">
        <v>44</v>
      </c>
      <c r="M666" t="s">
        <v>32</v>
      </c>
      <c r="N666" t="s">
        <v>41</v>
      </c>
      <c r="O666" s="2">
        <f>_Salesdata[[#This Row],[Unit_Price]] * _Salesdata[[#This Row],[Quantity_Sold]]</f>
        <v>105244.2</v>
      </c>
      <c r="P666" s="2">
        <f>_Salesdata[[#This Row],[Unit_Cost]] * _Salesdata[[#This Row],[Quantity_Sold]]</f>
        <v>98670.3</v>
      </c>
      <c r="Q666" s="2">
        <f>_Salesdata[[#This Row],[Gross_Sales]] - _Salesdata[[#This Row],[Total Cost]]</f>
        <v>6573.8999999999942</v>
      </c>
      <c r="R666" s="2"/>
    </row>
    <row r="667" spans="1:18" x14ac:dyDescent="0.25">
      <c r="A667">
        <v>1049</v>
      </c>
      <c r="B667" s="1">
        <v>45063</v>
      </c>
      <c r="C667" t="s">
        <v>24</v>
      </c>
      <c r="D667" t="s">
        <v>25</v>
      </c>
      <c r="E667" s="2">
        <v>3741.08</v>
      </c>
      <c r="F667">
        <v>1</v>
      </c>
      <c r="G667" t="s">
        <v>39</v>
      </c>
      <c r="H667" s="2">
        <v>3290.89</v>
      </c>
      <c r="I667" s="2">
        <v>3317.75</v>
      </c>
      <c r="J667" t="s">
        <v>20</v>
      </c>
      <c r="K667">
        <v>0.17</v>
      </c>
      <c r="L667" t="s">
        <v>44</v>
      </c>
      <c r="M667" t="s">
        <v>22</v>
      </c>
      <c r="N667" t="s">
        <v>29</v>
      </c>
      <c r="O667" s="2">
        <f>_Salesdata[[#This Row],[Unit_Price]] * _Salesdata[[#This Row],[Quantity_Sold]]</f>
        <v>3317.75</v>
      </c>
      <c r="P667" s="2">
        <f>_Salesdata[[#This Row],[Unit_Cost]] * _Salesdata[[#This Row],[Quantity_Sold]]</f>
        <v>3290.89</v>
      </c>
      <c r="Q667" s="2">
        <f>_Salesdata[[#This Row],[Gross_Sales]] - _Salesdata[[#This Row],[Total Cost]]</f>
        <v>26.860000000000127</v>
      </c>
      <c r="R667" s="2"/>
    </row>
    <row r="668" spans="1:18" x14ac:dyDescent="0.25">
      <c r="A668">
        <v>1002</v>
      </c>
      <c r="B668" s="1">
        <v>45259</v>
      </c>
      <c r="C668" t="s">
        <v>30</v>
      </c>
      <c r="D668" t="s">
        <v>37</v>
      </c>
      <c r="E668" s="2">
        <v>333.59</v>
      </c>
      <c r="F668">
        <v>24</v>
      </c>
      <c r="G668" t="s">
        <v>39</v>
      </c>
      <c r="H668" s="2">
        <v>3305.94</v>
      </c>
      <c r="I668" s="2">
        <v>3599.27</v>
      </c>
      <c r="J668" t="s">
        <v>27</v>
      </c>
      <c r="K668">
        <v>0.09</v>
      </c>
      <c r="L668" t="s">
        <v>28</v>
      </c>
      <c r="M668" t="s">
        <v>32</v>
      </c>
      <c r="N668" t="s">
        <v>51</v>
      </c>
      <c r="O668" s="2">
        <f>_Salesdata[[#This Row],[Unit_Price]] * _Salesdata[[#This Row],[Quantity_Sold]]</f>
        <v>86382.48</v>
      </c>
      <c r="P668" s="2">
        <f>_Salesdata[[#This Row],[Unit_Cost]] * _Salesdata[[#This Row],[Quantity_Sold]]</f>
        <v>79342.559999999998</v>
      </c>
      <c r="Q668" s="2">
        <f>_Salesdata[[#This Row],[Gross_Sales]] - _Salesdata[[#This Row],[Total Cost]]</f>
        <v>7039.9199999999983</v>
      </c>
      <c r="R668" s="2"/>
    </row>
    <row r="669" spans="1:18" x14ac:dyDescent="0.25">
      <c r="A669">
        <v>1049</v>
      </c>
      <c r="B669" s="1">
        <v>45068</v>
      </c>
      <c r="C669" t="s">
        <v>17</v>
      </c>
      <c r="D669" t="s">
        <v>18</v>
      </c>
      <c r="E669" s="2">
        <v>4216.17</v>
      </c>
      <c r="F669">
        <v>19</v>
      </c>
      <c r="G669" t="s">
        <v>19</v>
      </c>
      <c r="H669" s="2">
        <v>3316.97</v>
      </c>
      <c r="I669" s="2">
        <v>3544.02</v>
      </c>
      <c r="J669" t="s">
        <v>20</v>
      </c>
      <c r="K669">
        <v>0.14000000000000001</v>
      </c>
      <c r="L669" t="s">
        <v>21</v>
      </c>
      <c r="M669" t="s">
        <v>22</v>
      </c>
      <c r="N669" t="s">
        <v>23</v>
      </c>
      <c r="O669" s="2">
        <f>_Salesdata[[#This Row],[Unit_Price]] * _Salesdata[[#This Row],[Quantity_Sold]]</f>
        <v>67336.38</v>
      </c>
      <c r="P669" s="2">
        <f>_Salesdata[[#This Row],[Unit_Cost]] * _Salesdata[[#This Row],[Quantity_Sold]]</f>
        <v>63022.429999999993</v>
      </c>
      <c r="Q669" s="2">
        <f>_Salesdata[[#This Row],[Gross_Sales]] - _Salesdata[[#This Row],[Total Cost]]</f>
        <v>4313.9500000000116</v>
      </c>
      <c r="R669" s="2"/>
    </row>
    <row r="670" spans="1:18" x14ac:dyDescent="0.25">
      <c r="A670">
        <v>1050</v>
      </c>
      <c r="B670" s="1">
        <v>44990</v>
      </c>
      <c r="C670" t="s">
        <v>17</v>
      </c>
      <c r="D670" t="s">
        <v>37</v>
      </c>
      <c r="E670" s="2">
        <v>9755.9</v>
      </c>
      <c r="F670">
        <v>20</v>
      </c>
      <c r="G670" t="s">
        <v>26</v>
      </c>
      <c r="H670" s="2">
        <v>3318.92</v>
      </c>
      <c r="I670" s="2">
        <v>3785.91</v>
      </c>
      <c r="J670" t="s">
        <v>27</v>
      </c>
      <c r="K670">
        <v>0.24</v>
      </c>
      <c r="L670" t="s">
        <v>44</v>
      </c>
      <c r="M670" t="s">
        <v>22</v>
      </c>
      <c r="N670" t="s">
        <v>47</v>
      </c>
      <c r="O670" s="2">
        <f>_Salesdata[[#This Row],[Unit_Price]] * _Salesdata[[#This Row],[Quantity_Sold]]</f>
        <v>75718.2</v>
      </c>
      <c r="P670" s="2">
        <f>_Salesdata[[#This Row],[Unit_Cost]] * _Salesdata[[#This Row],[Quantity_Sold]]</f>
        <v>66378.399999999994</v>
      </c>
      <c r="Q670" s="2">
        <f>_Salesdata[[#This Row],[Gross_Sales]] - _Salesdata[[#This Row],[Total Cost]]</f>
        <v>9339.8000000000029</v>
      </c>
      <c r="R670" s="2"/>
    </row>
    <row r="671" spans="1:18" x14ac:dyDescent="0.25">
      <c r="A671">
        <v>1051</v>
      </c>
      <c r="B671" s="1">
        <v>45023</v>
      </c>
      <c r="C671" t="s">
        <v>24</v>
      </c>
      <c r="D671" t="s">
        <v>25</v>
      </c>
      <c r="E671" s="2">
        <v>5262.45</v>
      </c>
      <c r="F671">
        <v>23</v>
      </c>
      <c r="G671" t="s">
        <v>26</v>
      </c>
      <c r="H671" s="2">
        <v>3325.43</v>
      </c>
      <c r="I671" s="2">
        <v>3401.1</v>
      </c>
      <c r="J671" t="s">
        <v>27</v>
      </c>
      <c r="K671">
        <v>0.1</v>
      </c>
      <c r="L671" t="s">
        <v>21</v>
      </c>
      <c r="M671" t="s">
        <v>22</v>
      </c>
      <c r="N671" t="s">
        <v>29</v>
      </c>
      <c r="O671" s="2">
        <f>_Salesdata[[#This Row],[Unit_Price]] * _Salesdata[[#This Row],[Quantity_Sold]]</f>
        <v>78225.3</v>
      </c>
      <c r="P671" s="2">
        <f>_Salesdata[[#This Row],[Unit_Cost]] * _Salesdata[[#This Row],[Quantity_Sold]]</f>
        <v>76484.89</v>
      </c>
      <c r="Q671" s="2">
        <f>_Salesdata[[#This Row],[Gross_Sales]] - _Salesdata[[#This Row],[Total Cost]]</f>
        <v>1740.4100000000035</v>
      </c>
      <c r="R671" s="2"/>
    </row>
    <row r="672" spans="1:18" x14ac:dyDescent="0.25">
      <c r="A672">
        <v>1085</v>
      </c>
      <c r="B672" s="1">
        <v>44984</v>
      </c>
      <c r="C672" t="s">
        <v>48</v>
      </c>
      <c r="D672" t="s">
        <v>25</v>
      </c>
      <c r="E672" s="2">
        <v>5324.01</v>
      </c>
      <c r="F672">
        <v>45</v>
      </c>
      <c r="G672" t="s">
        <v>39</v>
      </c>
      <c r="H672" s="2">
        <v>3325.96</v>
      </c>
      <c r="I672" s="2">
        <v>3781.4</v>
      </c>
      <c r="J672" t="s">
        <v>20</v>
      </c>
      <c r="K672">
        <v>0.27</v>
      </c>
      <c r="L672" t="s">
        <v>28</v>
      </c>
      <c r="M672" t="s">
        <v>22</v>
      </c>
      <c r="N672" t="s">
        <v>49</v>
      </c>
      <c r="O672" s="2">
        <f>_Salesdata[[#This Row],[Unit_Price]] * _Salesdata[[#This Row],[Quantity_Sold]]</f>
        <v>170163</v>
      </c>
      <c r="P672" s="2">
        <f>_Salesdata[[#This Row],[Unit_Cost]] * _Salesdata[[#This Row],[Quantity_Sold]]</f>
        <v>149668.20000000001</v>
      </c>
      <c r="Q672" s="2">
        <f>_Salesdata[[#This Row],[Gross_Sales]] - _Salesdata[[#This Row],[Total Cost]]</f>
        <v>20494.799999999988</v>
      </c>
      <c r="R672" s="2"/>
    </row>
    <row r="673" spans="1:18" x14ac:dyDescent="0.25">
      <c r="A673">
        <v>1059</v>
      </c>
      <c r="B673" s="1">
        <v>45169</v>
      </c>
      <c r="C673" t="s">
        <v>24</v>
      </c>
      <c r="D673" t="s">
        <v>37</v>
      </c>
      <c r="E673" s="2">
        <v>1203.97</v>
      </c>
      <c r="F673">
        <v>35</v>
      </c>
      <c r="G673" t="s">
        <v>31</v>
      </c>
      <c r="H673" s="2">
        <v>3333.64</v>
      </c>
      <c r="I673" s="2">
        <v>3764.52</v>
      </c>
      <c r="J673" t="s">
        <v>20</v>
      </c>
      <c r="K673">
        <v>0.02</v>
      </c>
      <c r="L673" t="s">
        <v>28</v>
      </c>
      <c r="M673" t="s">
        <v>22</v>
      </c>
      <c r="N673" t="s">
        <v>53</v>
      </c>
      <c r="O673" s="2">
        <f>_Salesdata[[#This Row],[Unit_Price]] * _Salesdata[[#This Row],[Quantity_Sold]]</f>
        <v>131758.20000000001</v>
      </c>
      <c r="P673" s="2">
        <f>_Salesdata[[#This Row],[Unit_Cost]] * _Salesdata[[#This Row],[Quantity_Sold]]</f>
        <v>116677.4</v>
      </c>
      <c r="Q673" s="2">
        <f>_Salesdata[[#This Row],[Gross_Sales]] - _Salesdata[[#This Row],[Total Cost]]</f>
        <v>15080.800000000017</v>
      </c>
      <c r="R673" s="2"/>
    </row>
    <row r="674" spans="1:18" x14ac:dyDescent="0.25">
      <c r="A674">
        <v>1036</v>
      </c>
      <c r="B674" s="1">
        <v>45002</v>
      </c>
      <c r="C674" t="s">
        <v>24</v>
      </c>
      <c r="D674" t="s">
        <v>18</v>
      </c>
      <c r="E674" s="2">
        <v>2583.84</v>
      </c>
      <c r="F674">
        <v>23</v>
      </c>
      <c r="G674" t="s">
        <v>31</v>
      </c>
      <c r="H674" s="2">
        <v>3335.53</v>
      </c>
      <c r="I674" s="2">
        <v>3742.12</v>
      </c>
      <c r="J674" t="s">
        <v>27</v>
      </c>
      <c r="K674">
        <v>0.03</v>
      </c>
      <c r="L674" t="s">
        <v>44</v>
      </c>
      <c r="M674" t="s">
        <v>32</v>
      </c>
      <c r="N674" t="s">
        <v>46</v>
      </c>
      <c r="O674" s="2">
        <f>_Salesdata[[#This Row],[Unit_Price]] * _Salesdata[[#This Row],[Quantity_Sold]]</f>
        <v>86068.76</v>
      </c>
      <c r="P674" s="2">
        <f>_Salesdata[[#This Row],[Unit_Cost]] * _Salesdata[[#This Row],[Quantity_Sold]]</f>
        <v>76717.19</v>
      </c>
      <c r="Q674" s="2">
        <f>_Salesdata[[#This Row],[Gross_Sales]] - _Salesdata[[#This Row],[Total Cost]]</f>
        <v>9351.5699999999924</v>
      </c>
      <c r="R674" s="2"/>
    </row>
    <row r="675" spans="1:18" x14ac:dyDescent="0.25">
      <c r="A675">
        <v>1028</v>
      </c>
      <c r="B675" s="1">
        <v>45142</v>
      </c>
      <c r="C675" t="s">
        <v>24</v>
      </c>
      <c r="D675" t="s">
        <v>37</v>
      </c>
      <c r="E675" s="2">
        <v>2363.9</v>
      </c>
      <c r="F675">
        <v>38</v>
      </c>
      <c r="G675" t="s">
        <v>19</v>
      </c>
      <c r="H675" s="2">
        <v>3350.32</v>
      </c>
      <c r="I675" s="2">
        <v>3449.94</v>
      </c>
      <c r="J675" t="s">
        <v>27</v>
      </c>
      <c r="K675">
        <v>0.26</v>
      </c>
      <c r="L675" t="s">
        <v>21</v>
      </c>
      <c r="M675" t="s">
        <v>22</v>
      </c>
      <c r="N675" t="s">
        <v>53</v>
      </c>
      <c r="O675" s="2">
        <f>_Salesdata[[#This Row],[Unit_Price]] * _Salesdata[[#This Row],[Quantity_Sold]]</f>
        <v>131097.72</v>
      </c>
      <c r="P675" s="2">
        <f>_Salesdata[[#This Row],[Unit_Cost]] * _Salesdata[[#This Row],[Quantity_Sold]]</f>
        <v>127312.16</v>
      </c>
      <c r="Q675" s="2">
        <f>_Salesdata[[#This Row],[Gross_Sales]] - _Salesdata[[#This Row],[Total Cost]]</f>
        <v>3785.5599999999977</v>
      </c>
      <c r="R675" s="2"/>
    </row>
    <row r="676" spans="1:18" x14ac:dyDescent="0.25">
      <c r="A676">
        <v>1031</v>
      </c>
      <c r="B676" s="1">
        <v>45008</v>
      </c>
      <c r="C676" t="s">
        <v>48</v>
      </c>
      <c r="D676" t="s">
        <v>18</v>
      </c>
      <c r="E676" s="2">
        <v>433.4</v>
      </c>
      <c r="F676">
        <v>32</v>
      </c>
      <c r="G676" t="s">
        <v>19</v>
      </c>
      <c r="H676" s="2">
        <v>3351.33</v>
      </c>
      <c r="I676" s="2">
        <v>3711.47</v>
      </c>
      <c r="J676" t="s">
        <v>27</v>
      </c>
      <c r="K676">
        <v>0.16</v>
      </c>
      <c r="L676" t="s">
        <v>21</v>
      </c>
      <c r="M676" t="s">
        <v>32</v>
      </c>
      <c r="N676" t="s">
        <v>54</v>
      </c>
      <c r="O676" s="2">
        <f>_Salesdata[[#This Row],[Unit_Price]] * _Salesdata[[#This Row],[Quantity_Sold]]</f>
        <v>118767.03999999999</v>
      </c>
      <c r="P676" s="2">
        <f>_Salesdata[[#This Row],[Unit_Cost]] * _Salesdata[[#This Row],[Quantity_Sold]]</f>
        <v>107242.56</v>
      </c>
      <c r="Q676" s="2">
        <f>_Salesdata[[#This Row],[Gross_Sales]] - _Salesdata[[#This Row],[Total Cost]]</f>
        <v>11524.479999999996</v>
      </c>
      <c r="R676" s="2"/>
    </row>
    <row r="677" spans="1:18" x14ac:dyDescent="0.25">
      <c r="A677">
        <v>1049</v>
      </c>
      <c r="B677" s="1">
        <v>45197</v>
      </c>
      <c r="C677" t="s">
        <v>24</v>
      </c>
      <c r="D677" t="s">
        <v>25</v>
      </c>
      <c r="E677" s="2">
        <v>5972.27</v>
      </c>
      <c r="F677">
        <v>44</v>
      </c>
      <c r="G677" t="s">
        <v>39</v>
      </c>
      <c r="H677" s="2">
        <v>3351.33</v>
      </c>
      <c r="I677" s="2">
        <v>3465.35</v>
      </c>
      <c r="J677" t="s">
        <v>20</v>
      </c>
      <c r="K677">
        <v>0.12</v>
      </c>
      <c r="L677" t="s">
        <v>44</v>
      </c>
      <c r="M677" t="s">
        <v>22</v>
      </c>
      <c r="N677" t="s">
        <v>29</v>
      </c>
      <c r="O677" s="2">
        <f>_Salesdata[[#This Row],[Unit_Price]] * _Salesdata[[#This Row],[Quantity_Sold]]</f>
        <v>152475.4</v>
      </c>
      <c r="P677" s="2">
        <f>_Salesdata[[#This Row],[Unit_Cost]] * _Salesdata[[#This Row],[Quantity_Sold]]</f>
        <v>147458.51999999999</v>
      </c>
      <c r="Q677" s="2">
        <f>_Salesdata[[#This Row],[Gross_Sales]] - _Salesdata[[#This Row],[Total Cost]]</f>
        <v>5016.8800000000047</v>
      </c>
      <c r="R677" s="2"/>
    </row>
    <row r="678" spans="1:18" x14ac:dyDescent="0.25">
      <c r="A678">
        <v>1013</v>
      </c>
      <c r="B678" s="1">
        <v>44942</v>
      </c>
      <c r="C678" t="s">
        <v>48</v>
      </c>
      <c r="D678" t="s">
        <v>18</v>
      </c>
      <c r="E678" s="2">
        <v>6769.09</v>
      </c>
      <c r="F678">
        <v>20</v>
      </c>
      <c r="G678" t="s">
        <v>19</v>
      </c>
      <c r="H678" s="2">
        <v>3356.62</v>
      </c>
      <c r="I678" s="2">
        <v>3759.0099999999902</v>
      </c>
      <c r="J678" t="s">
        <v>20</v>
      </c>
      <c r="K678">
        <v>0.05</v>
      </c>
      <c r="L678" t="s">
        <v>28</v>
      </c>
      <c r="M678" t="s">
        <v>32</v>
      </c>
      <c r="N678" t="s">
        <v>54</v>
      </c>
      <c r="O678" s="2">
        <f>_Salesdata[[#This Row],[Unit_Price]] * _Salesdata[[#This Row],[Quantity_Sold]]</f>
        <v>75180.199999999808</v>
      </c>
      <c r="P678" s="2">
        <f>_Salesdata[[#This Row],[Unit_Cost]] * _Salesdata[[#This Row],[Quantity_Sold]]</f>
        <v>67132.399999999994</v>
      </c>
      <c r="Q678" s="2">
        <f>_Salesdata[[#This Row],[Gross_Sales]] - _Salesdata[[#This Row],[Total Cost]]</f>
        <v>8047.7999999998137</v>
      </c>
      <c r="R678" s="2"/>
    </row>
    <row r="679" spans="1:18" x14ac:dyDescent="0.25">
      <c r="A679">
        <v>1021</v>
      </c>
      <c r="B679" s="1">
        <v>44933</v>
      </c>
      <c r="C679" t="s">
        <v>17</v>
      </c>
      <c r="D679" t="s">
        <v>37</v>
      </c>
      <c r="E679" s="2">
        <v>2971.45</v>
      </c>
      <c r="F679">
        <v>9</v>
      </c>
      <c r="G679" t="s">
        <v>39</v>
      </c>
      <c r="H679" s="2">
        <v>3365.28</v>
      </c>
      <c r="I679" s="2">
        <v>3730.43</v>
      </c>
      <c r="J679" t="s">
        <v>27</v>
      </c>
      <c r="K679">
        <v>0.17</v>
      </c>
      <c r="L679" t="s">
        <v>44</v>
      </c>
      <c r="M679" t="s">
        <v>22</v>
      </c>
      <c r="N679" t="s">
        <v>47</v>
      </c>
      <c r="O679" s="2">
        <f>_Salesdata[[#This Row],[Unit_Price]] * _Salesdata[[#This Row],[Quantity_Sold]]</f>
        <v>33573.869999999995</v>
      </c>
      <c r="P679" s="2">
        <f>_Salesdata[[#This Row],[Unit_Cost]] * _Salesdata[[#This Row],[Quantity_Sold]]</f>
        <v>30287.52</v>
      </c>
      <c r="Q679" s="2">
        <f>_Salesdata[[#This Row],[Gross_Sales]] - _Salesdata[[#This Row],[Total Cost]]</f>
        <v>3286.3499999999949</v>
      </c>
      <c r="R679" s="2"/>
    </row>
    <row r="680" spans="1:18" x14ac:dyDescent="0.25">
      <c r="A680">
        <v>1044</v>
      </c>
      <c r="B680" s="1">
        <v>44973</v>
      </c>
      <c r="C680" t="s">
        <v>30</v>
      </c>
      <c r="D680" t="s">
        <v>40</v>
      </c>
      <c r="E680" s="2">
        <v>7754.1</v>
      </c>
      <c r="F680">
        <v>22</v>
      </c>
      <c r="G680" t="s">
        <v>31</v>
      </c>
      <c r="H680" s="2">
        <v>3373.46</v>
      </c>
      <c r="I680" s="2">
        <v>3454.76</v>
      </c>
      <c r="J680" t="s">
        <v>20</v>
      </c>
      <c r="K680">
        <v>0.22</v>
      </c>
      <c r="L680" t="s">
        <v>44</v>
      </c>
      <c r="M680" t="s">
        <v>32</v>
      </c>
      <c r="N680" t="s">
        <v>41</v>
      </c>
      <c r="O680" s="2">
        <f>_Salesdata[[#This Row],[Unit_Price]] * _Salesdata[[#This Row],[Quantity_Sold]]</f>
        <v>76004.72</v>
      </c>
      <c r="P680" s="2">
        <f>_Salesdata[[#This Row],[Unit_Cost]] * _Salesdata[[#This Row],[Quantity_Sold]]</f>
        <v>74216.12</v>
      </c>
      <c r="Q680" s="2">
        <f>_Salesdata[[#This Row],[Gross_Sales]] - _Salesdata[[#This Row],[Total Cost]]</f>
        <v>1788.6000000000058</v>
      </c>
      <c r="R680" s="2"/>
    </row>
    <row r="681" spans="1:18" x14ac:dyDescent="0.25">
      <c r="A681">
        <v>1023</v>
      </c>
      <c r="B681" s="1">
        <v>45283</v>
      </c>
      <c r="C681" t="s">
        <v>17</v>
      </c>
      <c r="D681" t="s">
        <v>18</v>
      </c>
      <c r="E681" s="2">
        <v>1875.62</v>
      </c>
      <c r="F681">
        <v>47</v>
      </c>
      <c r="G681" t="s">
        <v>26</v>
      </c>
      <c r="H681" s="2">
        <v>3374.72</v>
      </c>
      <c r="I681" s="2">
        <v>3483.1499999999901</v>
      </c>
      <c r="J681" t="s">
        <v>20</v>
      </c>
      <c r="K681">
        <v>0.18</v>
      </c>
      <c r="L681" t="s">
        <v>21</v>
      </c>
      <c r="M681" t="s">
        <v>22</v>
      </c>
      <c r="N681" t="s">
        <v>23</v>
      </c>
      <c r="O681" s="2">
        <f>_Salesdata[[#This Row],[Unit_Price]] * _Salesdata[[#This Row],[Quantity_Sold]]</f>
        <v>163708.04999999952</v>
      </c>
      <c r="P681" s="2">
        <f>_Salesdata[[#This Row],[Unit_Cost]] * _Salesdata[[#This Row],[Quantity_Sold]]</f>
        <v>158611.84</v>
      </c>
      <c r="Q681" s="2">
        <f>_Salesdata[[#This Row],[Gross_Sales]] - _Salesdata[[#This Row],[Total Cost]]</f>
        <v>5096.2099999995262</v>
      </c>
      <c r="R681" s="2"/>
    </row>
    <row r="682" spans="1:18" x14ac:dyDescent="0.25">
      <c r="A682">
        <v>1039</v>
      </c>
      <c r="B682" s="1">
        <v>45080</v>
      </c>
      <c r="C682" t="s">
        <v>17</v>
      </c>
      <c r="D682" t="s">
        <v>40</v>
      </c>
      <c r="E682" s="2">
        <v>3099.02</v>
      </c>
      <c r="F682">
        <v>8</v>
      </c>
      <c r="G682" t="s">
        <v>19</v>
      </c>
      <c r="H682" s="2">
        <v>3380.14</v>
      </c>
      <c r="I682" s="2">
        <v>3609.3399999999901</v>
      </c>
      <c r="J682" t="s">
        <v>20</v>
      </c>
      <c r="K682">
        <v>0.09</v>
      </c>
      <c r="L682" t="s">
        <v>28</v>
      </c>
      <c r="M682" t="s">
        <v>22</v>
      </c>
      <c r="N682" t="s">
        <v>42</v>
      </c>
      <c r="O682" s="2">
        <f>_Salesdata[[#This Row],[Unit_Price]] * _Salesdata[[#This Row],[Quantity_Sold]]</f>
        <v>28874.719999999921</v>
      </c>
      <c r="P682" s="2">
        <f>_Salesdata[[#This Row],[Unit_Cost]] * _Salesdata[[#This Row],[Quantity_Sold]]</f>
        <v>27041.119999999999</v>
      </c>
      <c r="Q682" s="2">
        <f>_Salesdata[[#This Row],[Gross_Sales]] - _Salesdata[[#This Row],[Total Cost]]</f>
        <v>1833.5999999999221</v>
      </c>
      <c r="R682" s="2"/>
    </row>
    <row r="683" spans="1:18" x14ac:dyDescent="0.25">
      <c r="A683">
        <v>1082</v>
      </c>
      <c r="B683" s="1">
        <v>45135</v>
      </c>
      <c r="C683" t="s">
        <v>24</v>
      </c>
      <c r="D683" t="s">
        <v>18</v>
      </c>
      <c r="E683" s="2">
        <v>8540.2199999999993</v>
      </c>
      <c r="F683">
        <v>48</v>
      </c>
      <c r="G683" t="s">
        <v>31</v>
      </c>
      <c r="H683" s="2">
        <v>3380.52</v>
      </c>
      <c r="I683" s="2">
        <v>3778.94</v>
      </c>
      <c r="J683" t="s">
        <v>20</v>
      </c>
      <c r="K683">
        <v>0.3</v>
      </c>
      <c r="L683" t="s">
        <v>44</v>
      </c>
      <c r="M683" t="s">
        <v>22</v>
      </c>
      <c r="N683" t="s">
        <v>46</v>
      </c>
      <c r="O683" s="2">
        <f>_Salesdata[[#This Row],[Unit_Price]] * _Salesdata[[#This Row],[Quantity_Sold]]</f>
        <v>181389.12</v>
      </c>
      <c r="P683" s="2">
        <f>_Salesdata[[#This Row],[Unit_Cost]] * _Salesdata[[#This Row],[Quantity_Sold]]</f>
        <v>162264.95999999999</v>
      </c>
      <c r="Q683" s="2">
        <f>_Salesdata[[#This Row],[Gross_Sales]] - _Salesdata[[#This Row],[Total Cost]]</f>
        <v>19124.160000000003</v>
      </c>
      <c r="R683" s="2"/>
    </row>
    <row r="684" spans="1:18" x14ac:dyDescent="0.25">
      <c r="A684">
        <v>1016</v>
      </c>
      <c r="B684" s="1">
        <v>44953</v>
      </c>
      <c r="C684" t="s">
        <v>48</v>
      </c>
      <c r="D684" t="s">
        <v>37</v>
      </c>
      <c r="E684" s="2">
        <v>2783.85</v>
      </c>
      <c r="F684">
        <v>41</v>
      </c>
      <c r="G684" t="s">
        <v>31</v>
      </c>
      <c r="H684" s="2">
        <v>3386.49</v>
      </c>
      <c r="I684" s="2">
        <v>3430.99</v>
      </c>
      <c r="J684" t="s">
        <v>27</v>
      </c>
      <c r="K684">
        <v>0.21</v>
      </c>
      <c r="L684" t="s">
        <v>44</v>
      </c>
      <c r="M684" t="s">
        <v>32</v>
      </c>
      <c r="N684" t="s">
        <v>52</v>
      </c>
      <c r="O684" s="2">
        <f>_Salesdata[[#This Row],[Unit_Price]] * _Salesdata[[#This Row],[Quantity_Sold]]</f>
        <v>140670.59</v>
      </c>
      <c r="P684" s="2">
        <f>_Salesdata[[#This Row],[Unit_Cost]] * _Salesdata[[#This Row],[Quantity_Sold]]</f>
        <v>138846.09</v>
      </c>
      <c r="Q684" s="2">
        <f>_Salesdata[[#This Row],[Gross_Sales]] - _Salesdata[[#This Row],[Total Cost]]</f>
        <v>1824.5</v>
      </c>
      <c r="R684" s="2"/>
    </row>
    <row r="685" spans="1:18" x14ac:dyDescent="0.25">
      <c r="A685">
        <v>1016</v>
      </c>
      <c r="B685" s="1">
        <v>45103</v>
      </c>
      <c r="C685" t="s">
        <v>35</v>
      </c>
      <c r="D685" t="s">
        <v>37</v>
      </c>
      <c r="E685" s="2">
        <v>9027.56</v>
      </c>
      <c r="F685">
        <v>3</v>
      </c>
      <c r="G685" t="s">
        <v>26</v>
      </c>
      <c r="H685" s="2">
        <v>3401.87</v>
      </c>
      <c r="I685" s="2">
        <v>3733.71</v>
      </c>
      <c r="J685" t="s">
        <v>20</v>
      </c>
      <c r="K685">
        <v>0.06</v>
      </c>
      <c r="L685" t="s">
        <v>44</v>
      </c>
      <c r="M685" t="s">
        <v>32</v>
      </c>
      <c r="N685" t="s">
        <v>38</v>
      </c>
      <c r="O685" s="2">
        <f>_Salesdata[[#This Row],[Unit_Price]] * _Salesdata[[#This Row],[Quantity_Sold]]</f>
        <v>11201.130000000001</v>
      </c>
      <c r="P685" s="2">
        <f>_Salesdata[[#This Row],[Unit_Cost]] * _Salesdata[[#This Row],[Quantity_Sold]]</f>
        <v>10205.61</v>
      </c>
      <c r="Q685" s="2">
        <f>_Salesdata[[#This Row],[Gross_Sales]] - _Salesdata[[#This Row],[Total Cost]]</f>
        <v>995.52000000000044</v>
      </c>
      <c r="R685" s="2"/>
    </row>
    <row r="686" spans="1:18" x14ac:dyDescent="0.25">
      <c r="A686">
        <v>1017</v>
      </c>
      <c r="B686" s="1">
        <v>44946</v>
      </c>
      <c r="C686" t="s">
        <v>17</v>
      </c>
      <c r="D686" t="s">
        <v>18</v>
      </c>
      <c r="E686" s="2">
        <v>496.59</v>
      </c>
      <c r="F686">
        <v>29</v>
      </c>
      <c r="G686" t="s">
        <v>19</v>
      </c>
      <c r="H686" s="2">
        <v>3410.49</v>
      </c>
      <c r="I686" s="2">
        <v>3481.72</v>
      </c>
      <c r="J686" t="s">
        <v>27</v>
      </c>
      <c r="K686">
        <v>0.24</v>
      </c>
      <c r="L686" t="s">
        <v>44</v>
      </c>
      <c r="M686" t="s">
        <v>32</v>
      </c>
      <c r="N686" t="s">
        <v>23</v>
      </c>
      <c r="O686" s="2">
        <f>_Salesdata[[#This Row],[Unit_Price]] * _Salesdata[[#This Row],[Quantity_Sold]]</f>
        <v>100969.87999999999</v>
      </c>
      <c r="P686" s="2">
        <f>_Salesdata[[#This Row],[Unit_Cost]] * _Salesdata[[#This Row],[Quantity_Sold]]</f>
        <v>98904.209999999992</v>
      </c>
      <c r="Q686" s="2">
        <f>_Salesdata[[#This Row],[Gross_Sales]] - _Salesdata[[#This Row],[Total Cost]]</f>
        <v>2065.6699999999983</v>
      </c>
      <c r="R686" s="2"/>
    </row>
    <row r="687" spans="1:18" x14ac:dyDescent="0.25">
      <c r="A687">
        <v>1080</v>
      </c>
      <c r="B687" s="1">
        <v>45241</v>
      </c>
      <c r="C687" t="s">
        <v>24</v>
      </c>
      <c r="D687" t="s">
        <v>18</v>
      </c>
      <c r="E687" s="2">
        <v>3602.51</v>
      </c>
      <c r="F687">
        <v>32</v>
      </c>
      <c r="G687" t="s">
        <v>26</v>
      </c>
      <c r="H687" s="2">
        <v>3414.54</v>
      </c>
      <c r="I687" s="2">
        <v>3753.83</v>
      </c>
      <c r="J687" t="s">
        <v>27</v>
      </c>
      <c r="K687">
        <v>0.22</v>
      </c>
      <c r="L687" t="s">
        <v>21</v>
      </c>
      <c r="M687" t="s">
        <v>32</v>
      </c>
      <c r="N687" t="s">
        <v>46</v>
      </c>
      <c r="O687" s="2">
        <f>_Salesdata[[#This Row],[Unit_Price]] * _Salesdata[[#This Row],[Quantity_Sold]]</f>
        <v>120122.56</v>
      </c>
      <c r="P687" s="2">
        <f>_Salesdata[[#This Row],[Unit_Cost]] * _Salesdata[[#This Row],[Quantity_Sold]]</f>
        <v>109265.28</v>
      </c>
      <c r="Q687" s="2">
        <f>_Salesdata[[#This Row],[Gross_Sales]] - _Salesdata[[#This Row],[Total Cost]]</f>
        <v>10857.279999999999</v>
      </c>
      <c r="R687" s="2"/>
    </row>
    <row r="688" spans="1:18" x14ac:dyDescent="0.25">
      <c r="A688">
        <v>1024</v>
      </c>
      <c r="B688" s="1">
        <v>45289</v>
      </c>
      <c r="C688" t="s">
        <v>48</v>
      </c>
      <c r="D688" t="s">
        <v>37</v>
      </c>
      <c r="E688" s="2">
        <v>9190.57</v>
      </c>
      <c r="F688">
        <v>5</v>
      </c>
      <c r="G688" t="s">
        <v>39</v>
      </c>
      <c r="H688" s="2">
        <v>3417.9</v>
      </c>
      <c r="I688" s="2">
        <v>3714.52</v>
      </c>
      <c r="J688" t="s">
        <v>20</v>
      </c>
      <c r="K688">
        <v>0.27</v>
      </c>
      <c r="L688" t="s">
        <v>28</v>
      </c>
      <c r="M688" t="s">
        <v>32</v>
      </c>
      <c r="N688" t="s">
        <v>52</v>
      </c>
      <c r="O688" s="2">
        <f>_Salesdata[[#This Row],[Unit_Price]] * _Salesdata[[#This Row],[Quantity_Sold]]</f>
        <v>18572.599999999999</v>
      </c>
      <c r="P688" s="2">
        <f>_Salesdata[[#This Row],[Unit_Cost]] * _Salesdata[[#This Row],[Quantity_Sold]]</f>
        <v>17089.5</v>
      </c>
      <c r="Q688" s="2">
        <f>_Salesdata[[#This Row],[Gross_Sales]] - _Salesdata[[#This Row],[Total Cost]]</f>
        <v>1483.0999999999985</v>
      </c>
      <c r="R688" s="2"/>
    </row>
    <row r="689" spans="1:18" x14ac:dyDescent="0.25">
      <c r="A689">
        <v>1003</v>
      </c>
      <c r="B689" s="1">
        <v>45057</v>
      </c>
      <c r="C689" t="s">
        <v>35</v>
      </c>
      <c r="D689" t="s">
        <v>37</v>
      </c>
      <c r="E689" s="2">
        <v>6760.37</v>
      </c>
      <c r="F689">
        <v>26</v>
      </c>
      <c r="G689" t="s">
        <v>26</v>
      </c>
      <c r="H689" s="2">
        <v>3418.78</v>
      </c>
      <c r="I689" s="2">
        <v>3824.1</v>
      </c>
      <c r="J689" t="s">
        <v>27</v>
      </c>
      <c r="K689">
        <v>0.19</v>
      </c>
      <c r="L689" t="s">
        <v>28</v>
      </c>
      <c r="M689" t="s">
        <v>22</v>
      </c>
      <c r="N689" t="s">
        <v>38</v>
      </c>
      <c r="O689" s="2">
        <f>_Salesdata[[#This Row],[Unit_Price]] * _Salesdata[[#This Row],[Quantity_Sold]]</f>
        <v>99426.599999999991</v>
      </c>
      <c r="P689" s="2">
        <f>_Salesdata[[#This Row],[Unit_Cost]] * _Salesdata[[#This Row],[Quantity_Sold]]</f>
        <v>88888.28</v>
      </c>
      <c r="Q689" s="2">
        <f>_Salesdata[[#This Row],[Gross_Sales]] - _Salesdata[[#This Row],[Total Cost]]</f>
        <v>10538.319999999992</v>
      </c>
      <c r="R689" s="2"/>
    </row>
    <row r="690" spans="1:18" x14ac:dyDescent="0.25">
      <c r="A690">
        <v>1086</v>
      </c>
      <c r="B690" s="1">
        <v>45291</v>
      </c>
      <c r="C690" t="s">
        <v>24</v>
      </c>
      <c r="D690" t="s">
        <v>40</v>
      </c>
      <c r="E690" s="2">
        <v>9269.32</v>
      </c>
      <c r="F690">
        <v>33</v>
      </c>
      <c r="G690" t="s">
        <v>19</v>
      </c>
      <c r="H690" s="2">
        <v>3419.33</v>
      </c>
      <c r="I690" s="2">
        <v>3890.3599999999901</v>
      </c>
      <c r="J690" t="s">
        <v>20</v>
      </c>
      <c r="K690">
        <v>0.21</v>
      </c>
      <c r="L690" t="s">
        <v>21</v>
      </c>
      <c r="M690" t="s">
        <v>32</v>
      </c>
      <c r="N690" t="s">
        <v>55</v>
      </c>
      <c r="O690" s="2">
        <f>_Salesdata[[#This Row],[Unit_Price]] * _Salesdata[[#This Row],[Quantity_Sold]]</f>
        <v>128381.87999999967</v>
      </c>
      <c r="P690" s="2">
        <f>_Salesdata[[#This Row],[Unit_Cost]] * _Salesdata[[#This Row],[Quantity_Sold]]</f>
        <v>112837.89</v>
      </c>
      <c r="Q690" s="2">
        <f>_Salesdata[[#This Row],[Gross_Sales]] - _Salesdata[[#This Row],[Total Cost]]</f>
        <v>15543.989999999671</v>
      </c>
      <c r="R690" s="2"/>
    </row>
    <row r="691" spans="1:18" x14ac:dyDescent="0.25">
      <c r="A691">
        <v>1084</v>
      </c>
      <c r="B691" s="1">
        <v>45250</v>
      </c>
      <c r="C691" t="s">
        <v>17</v>
      </c>
      <c r="D691" t="s">
        <v>40</v>
      </c>
      <c r="E691" s="2">
        <v>2396.98</v>
      </c>
      <c r="F691">
        <v>15</v>
      </c>
      <c r="G691" t="s">
        <v>39</v>
      </c>
      <c r="H691" s="2">
        <v>3420.72</v>
      </c>
      <c r="I691" s="2">
        <v>3513.74</v>
      </c>
      <c r="J691" t="s">
        <v>27</v>
      </c>
      <c r="K691">
        <v>0.02</v>
      </c>
      <c r="L691" t="s">
        <v>21</v>
      </c>
      <c r="M691" t="s">
        <v>22</v>
      </c>
      <c r="N691" t="s">
        <v>42</v>
      </c>
      <c r="O691" s="2">
        <f>_Salesdata[[#This Row],[Unit_Price]] * _Salesdata[[#This Row],[Quantity_Sold]]</f>
        <v>52706.1</v>
      </c>
      <c r="P691" s="2">
        <f>_Salesdata[[#This Row],[Unit_Cost]] * _Salesdata[[#This Row],[Quantity_Sold]]</f>
        <v>51310.799999999996</v>
      </c>
      <c r="Q691" s="2">
        <f>_Salesdata[[#This Row],[Gross_Sales]] - _Salesdata[[#This Row],[Total Cost]]</f>
        <v>1395.3000000000029</v>
      </c>
      <c r="R691" s="2"/>
    </row>
    <row r="692" spans="1:18" x14ac:dyDescent="0.25">
      <c r="A692">
        <v>1051</v>
      </c>
      <c r="B692" s="1">
        <v>45206</v>
      </c>
      <c r="C692" t="s">
        <v>17</v>
      </c>
      <c r="D692" t="s">
        <v>25</v>
      </c>
      <c r="E692" s="2">
        <v>8047.83</v>
      </c>
      <c r="F692">
        <v>3</v>
      </c>
      <c r="G692" t="s">
        <v>39</v>
      </c>
      <c r="H692" s="2">
        <v>3434.75</v>
      </c>
      <c r="I692" s="2">
        <v>3659.42</v>
      </c>
      <c r="J692" t="s">
        <v>27</v>
      </c>
      <c r="K692">
        <v>0.16</v>
      </c>
      <c r="L692" t="s">
        <v>21</v>
      </c>
      <c r="M692" t="s">
        <v>22</v>
      </c>
      <c r="N692" t="s">
        <v>34</v>
      </c>
      <c r="O692" s="2">
        <f>_Salesdata[[#This Row],[Unit_Price]] * _Salesdata[[#This Row],[Quantity_Sold]]</f>
        <v>10978.26</v>
      </c>
      <c r="P692" s="2">
        <f>_Salesdata[[#This Row],[Unit_Cost]] * _Salesdata[[#This Row],[Quantity_Sold]]</f>
        <v>10304.25</v>
      </c>
      <c r="Q692" s="2">
        <f>_Salesdata[[#This Row],[Gross_Sales]] - _Salesdata[[#This Row],[Total Cost]]</f>
        <v>674.01000000000022</v>
      </c>
      <c r="R692" s="2"/>
    </row>
    <row r="693" spans="1:18" x14ac:dyDescent="0.25">
      <c r="A693">
        <v>1067</v>
      </c>
      <c r="B693" s="1">
        <v>45100</v>
      </c>
      <c r="C693" t="s">
        <v>17</v>
      </c>
      <c r="D693" t="s">
        <v>37</v>
      </c>
      <c r="E693" s="2">
        <v>914.5</v>
      </c>
      <c r="F693">
        <v>11</v>
      </c>
      <c r="G693" t="s">
        <v>39</v>
      </c>
      <c r="H693" s="2">
        <v>3435.68</v>
      </c>
      <c r="I693" s="2">
        <v>3552.6299999999901</v>
      </c>
      <c r="J693" t="s">
        <v>27</v>
      </c>
      <c r="K693">
        <v>0.27</v>
      </c>
      <c r="L693" t="s">
        <v>21</v>
      </c>
      <c r="M693" t="s">
        <v>32</v>
      </c>
      <c r="N693" t="s">
        <v>47</v>
      </c>
      <c r="O693" s="2">
        <f>_Salesdata[[#This Row],[Unit_Price]] * _Salesdata[[#This Row],[Quantity_Sold]]</f>
        <v>39078.929999999891</v>
      </c>
      <c r="P693" s="2">
        <f>_Salesdata[[#This Row],[Unit_Cost]] * _Salesdata[[#This Row],[Quantity_Sold]]</f>
        <v>37792.479999999996</v>
      </c>
      <c r="Q693" s="2">
        <f>_Salesdata[[#This Row],[Gross_Sales]] - _Salesdata[[#This Row],[Total Cost]]</f>
        <v>1286.4499999998952</v>
      </c>
      <c r="R693" s="2"/>
    </row>
    <row r="694" spans="1:18" x14ac:dyDescent="0.25">
      <c r="A694">
        <v>1099</v>
      </c>
      <c r="B694" s="1">
        <v>45057</v>
      </c>
      <c r="C694" t="s">
        <v>24</v>
      </c>
      <c r="D694" t="s">
        <v>40</v>
      </c>
      <c r="E694" s="2">
        <v>3518.89</v>
      </c>
      <c r="F694">
        <v>48</v>
      </c>
      <c r="G694" t="s">
        <v>31</v>
      </c>
      <c r="H694" s="2">
        <v>3441.61</v>
      </c>
      <c r="I694" s="2">
        <v>3693.45</v>
      </c>
      <c r="J694" t="s">
        <v>20</v>
      </c>
      <c r="K694">
        <v>0.19</v>
      </c>
      <c r="L694" t="s">
        <v>44</v>
      </c>
      <c r="M694" t="s">
        <v>22</v>
      </c>
      <c r="N694" t="s">
        <v>55</v>
      </c>
      <c r="O694" s="2">
        <f>_Salesdata[[#This Row],[Unit_Price]] * _Salesdata[[#This Row],[Quantity_Sold]]</f>
        <v>177285.59999999998</v>
      </c>
      <c r="P694" s="2">
        <f>_Salesdata[[#This Row],[Unit_Cost]] * _Salesdata[[#This Row],[Quantity_Sold]]</f>
        <v>165197.28</v>
      </c>
      <c r="Q694" s="2">
        <f>_Salesdata[[#This Row],[Gross_Sales]] - _Salesdata[[#This Row],[Total Cost]]</f>
        <v>12088.319999999978</v>
      </c>
      <c r="R694" s="2"/>
    </row>
    <row r="695" spans="1:18" x14ac:dyDescent="0.25">
      <c r="A695">
        <v>1094</v>
      </c>
      <c r="B695" s="1">
        <v>44938</v>
      </c>
      <c r="C695" t="s">
        <v>48</v>
      </c>
      <c r="D695" t="s">
        <v>25</v>
      </c>
      <c r="E695" s="2">
        <v>5835.21</v>
      </c>
      <c r="F695">
        <v>38</v>
      </c>
      <c r="G695" t="s">
        <v>31</v>
      </c>
      <c r="H695" s="2">
        <v>3443.98</v>
      </c>
      <c r="I695" s="2">
        <v>3820.3</v>
      </c>
      <c r="J695" t="s">
        <v>20</v>
      </c>
      <c r="K695">
        <v>0.01</v>
      </c>
      <c r="L695" t="s">
        <v>28</v>
      </c>
      <c r="M695" t="s">
        <v>32</v>
      </c>
      <c r="N695" t="s">
        <v>49</v>
      </c>
      <c r="O695" s="2">
        <f>_Salesdata[[#This Row],[Unit_Price]] * _Salesdata[[#This Row],[Quantity_Sold]]</f>
        <v>145171.4</v>
      </c>
      <c r="P695" s="2">
        <f>_Salesdata[[#This Row],[Unit_Cost]] * _Salesdata[[#This Row],[Quantity_Sold]]</f>
        <v>130871.24</v>
      </c>
      <c r="Q695" s="2">
        <f>_Salesdata[[#This Row],[Gross_Sales]] - _Salesdata[[#This Row],[Total Cost]]</f>
        <v>14300.159999999989</v>
      </c>
      <c r="R695" s="2"/>
    </row>
    <row r="696" spans="1:18" x14ac:dyDescent="0.25">
      <c r="A696">
        <v>1094</v>
      </c>
      <c r="B696" s="1">
        <v>44972</v>
      </c>
      <c r="C696" t="s">
        <v>35</v>
      </c>
      <c r="D696" t="s">
        <v>40</v>
      </c>
      <c r="E696" s="2">
        <v>8643.67</v>
      </c>
      <c r="F696">
        <v>47</v>
      </c>
      <c r="G696" t="s">
        <v>31</v>
      </c>
      <c r="H696" s="2">
        <v>3450.36</v>
      </c>
      <c r="I696" s="2">
        <v>3557.38</v>
      </c>
      <c r="J696" t="s">
        <v>27</v>
      </c>
      <c r="K696">
        <v>0.2</v>
      </c>
      <c r="L696" t="s">
        <v>28</v>
      </c>
      <c r="M696" t="s">
        <v>22</v>
      </c>
      <c r="N696" t="s">
        <v>43</v>
      </c>
      <c r="O696" s="2">
        <f>_Salesdata[[#This Row],[Unit_Price]] * _Salesdata[[#This Row],[Quantity_Sold]]</f>
        <v>167196.86000000002</v>
      </c>
      <c r="P696" s="2">
        <f>_Salesdata[[#This Row],[Unit_Cost]] * _Salesdata[[#This Row],[Quantity_Sold]]</f>
        <v>162166.92000000001</v>
      </c>
      <c r="Q696" s="2">
        <f>_Salesdata[[#This Row],[Gross_Sales]] - _Salesdata[[#This Row],[Total Cost]]</f>
        <v>5029.9400000000023</v>
      </c>
      <c r="R696" s="2"/>
    </row>
    <row r="697" spans="1:18" x14ac:dyDescent="0.25">
      <c r="A697">
        <v>1052</v>
      </c>
      <c r="B697" s="1">
        <v>44931</v>
      </c>
      <c r="C697" t="s">
        <v>17</v>
      </c>
      <c r="D697" t="s">
        <v>37</v>
      </c>
      <c r="E697" s="2">
        <v>8837.34</v>
      </c>
      <c r="F697">
        <v>11</v>
      </c>
      <c r="G697" t="s">
        <v>19</v>
      </c>
      <c r="H697" s="2">
        <v>3451.59</v>
      </c>
      <c r="I697" s="2">
        <v>3929.26</v>
      </c>
      <c r="J697" t="s">
        <v>27</v>
      </c>
      <c r="K697">
        <v>0.3</v>
      </c>
      <c r="L697" t="s">
        <v>28</v>
      </c>
      <c r="M697" t="s">
        <v>32</v>
      </c>
      <c r="N697" t="s">
        <v>47</v>
      </c>
      <c r="O697" s="2">
        <f>_Salesdata[[#This Row],[Unit_Price]] * _Salesdata[[#This Row],[Quantity_Sold]]</f>
        <v>43221.86</v>
      </c>
      <c r="P697" s="2">
        <f>_Salesdata[[#This Row],[Unit_Cost]] * _Salesdata[[#This Row],[Quantity_Sold]]</f>
        <v>37967.490000000005</v>
      </c>
      <c r="Q697" s="2">
        <f>_Salesdata[[#This Row],[Gross_Sales]] - _Salesdata[[#This Row],[Total Cost]]</f>
        <v>5254.3699999999953</v>
      </c>
      <c r="R697" s="2"/>
    </row>
    <row r="698" spans="1:18" x14ac:dyDescent="0.25">
      <c r="A698">
        <v>1012</v>
      </c>
      <c r="B698" s="1">
        <v>45085</v>
      </c>
      <c r="C698" t="s">
        <v>17</v>
      </c>
      <c r="D698" t="s">
        <v>18</v>
      </c>
      <c r="E698" s="2">
        <v>3608.81</v>
      </c>
      <c r="F698">
        <v>19</v>
      </c>
      <c r="G698" t="s">
        <v>39</v>
      </c>
      <c r="H698" s="2">
        <v>3457.28</v>
      </c>
      <c r="I698" s="2">
        <v>3598.72</v>
      </c>
      <c r="J698" t="s">
        <v>27</v>
      </c>
      <c r="K698">
        <v>0.27</v>
      </c>
      <c r="L698" t="s">
        <v>44</v>
      </c>
      <c r="M698" t="s">
        <v>22</v>
      </c>
      <c r="N698" t="s">
        <v>23</v>
      </c>
      <c r="O698" s="2">
        <f>_Salesdata[[#This Row],[Unit_Price]] * _Salesdata[[#This Row],[Quantity_Sold]]</f>
        <v>68375.679999999993</v>
      </c>
      <c r="P698" s="2">
        <f>_Salesdata[[#This Row],[Unit_Cost]] * _Salesdata[[#This Row],[Quantity_Sold]]</f>
        <v>65688.320000000007</v>
      </c>
      <c r="Q698" s="2">
        <f>_Salesdata[[#This Row],[Gross_Sales]] - _Salesdata[[#This Row],[Total Cost]]</f>
        <v>2687.359999999986</v>
      </c>
      <c r="R698" s="2"/>
    </row>
    <row r="699" spans="1:18" x14ac:dyDescent="0.25">
      <c r="A699">
        <v>1078</v>
      </c>
      <c r="B699" s="1">
        <v>45246</v>
      </c>
      <c r="C699" t="s">
        <v>30</v>
      </c>
      <c r="D699" t="s">
        <v>18</v>
      </c>
      <c r="E699" s="2">
        <v>113.4</v>
      </c>
      <c r="F699">
        <v>8</v>
      </c>
      <c r="G699" t="s">
        <v>39</v>
      </c>
      <c r="H699" s="2">
        <v>3459.61</v>
      </c>
      <c r="I699" s="2">
        <v>3657.23</v>
      </c>
      <c r="J699" t="s">
        <v>20</v>
      </c>
      <c r="K699">
        <v>0.03</v>
      </c>
      <c r="L699" t="s">
        <v>44</v>
      </c>
      <c r="M699" t="s">
        <v>22</v>
      </c>
      <c r="N699" t="s">
        <v>33</v>
      </c>
      <c r="O699" s="2">
        <f>_Salesdata[[#This Row],[Unit_Price]] * _Salesdata[[#This Row],[Quantity_Sold]]</f>
        <v>29257.84</v>
      </c>
      <c r="P699" s="2">
        <f>_Salesdata[[#This Row],[Unit_Cost]] * _Salesdata[[#This Row],[Quantity_Sold]]</f>
        <v>27676.880000000001</v>
      </c>
      <c r="Q699" s="2">
        <f>_Salesdata[[#This Row],[Gross_Sales]] - _Salesdata[[#This Row],[Total Cost]]</f>
        <v>1580.9599999999991</v>
      </c>
      <c r="R699" s="2"/>
    </row>
    <row r="700" spans="1:18" x14ac:dyDescent="0.25">
      <c r="A700">
        <v>1015</v>
      </c>
      <c r="B700" s="1">
        <v>45193</v>
      </c>
      <c r="C700" t="s">
        <v>17</v>
      </c>
      <c r="D700" t="s">
        <v>18</v>
      </c>
      <c r="E700" s="2">
        <v>182.37</v>
      </c>
      <c r="F700">
        <v>35</v>
      </c>
      <c r="G700" t="s">
        <v>19</v>
      </c>
      <c r="H700" s="2">
        <v>3461.15</v>
      </c>
      <c r="I700" s="2">
        <v>3631.75</v>
      </c>
      <c r="J700" t="s">
        <v>20</v>
      </c>
      <c r="K700">
        <v>0.27</v>
      </c>
      <c r="L700" t="s">
        <v>28</v>
      </c>
      <c r="M700" t="s">
        <v>22</v>
      </c>
      <c r="N700" t="s">
        <v>23</v>
      </c>
      <c r="O700" s="2">
        <f>_Salesdata[[#This Row],[Unit_Price]] * _Salesdata[[#This Row],[Quantity_Sold]]</f>
        <v>127111.25</v>
      </c>
      <c r="P700" s="2">
        <f>_Salesdata[[#This Row],[Unit_Cost]] * _Salesdata[[#This Row],[Quantity_Sold]]</f>
        <v>121140.25</v>
      </c>
      <c r="Q700" s="2">
        <f>_Salesdata[[#This Row],[Gross_Sales]] - _Salesdata[[#This Row],[Total Cost]]</f>
        <v>5971</v>
      </c>
      <c r="R700" s="2"/>
    </row>
    <row r="701" spans="1:18" x14ac:dyDescent="0.25">
      <c r="A701">
        <v>1057</v>
      </c>
      <c r="B701" s="1">
        <v>45079</v>
      </c>
      <c r="C701" t="s">
        <v>48</v>
      </c>
      <c r="D701" t="s">
        <v>18</v>
      </c>
      <c r="E701" s="2">
        <v>2046.87</v>
      </c>
      <c r="F701">
        <v>22</v>
      </c>
      <c r="G701" t="s">
        <v>31</v>
      </c>
      <c r="H701" s="2">
        <v>3462.61</v>
      </c>
      <c r="I701" s="2">
        <v>3672.89</v>
      </c>
      <c r="J701" t="s">
        <v>20</v>
      </c>
      <c r="K701">
        <v>0.27</v>
      </c>
      <c r="L701" t="s">
        <v>28</v>
      </c>
      <c r="M701" t="s">
        <v>22</v>
      </c>
      <c r="N701" t="s">
        <v>54</v>
      </c>
      <c r="O701" s="2">
        <f>_Salesdata[[#This Row],[Unit_Price]] * _Salesdata[[#This Row],[Quantity_Sold]]</f>
        <v>80803.58</v>
      </c>
      <c r="P701" s="2">
        <f>_Salesdata[[#This Row],[Unit_Cost]] * _Salesdata[[#This Row],[Quantity_Sold]]</f>
        <v>76177.42</v>
      </c>
      <c r="Q701" s="2">
        <f>_Salesdata[[#This Row],[Gross_Sales]] - _Salesdata[[#This Row],[Total Cost]]</f>
        <v>4626.1600000000035</v>
      </c>
      <c r="R701" s="2"/>
    </row>
    <row r="702" spans="1:18" x14ac:dyDescent="0.25">
      <c r="A702">
        <v>1012</v>
      </c>
      <c r="B702" s="1">
        <v>45066</v>
      </c>
      <c r="C702" t="s">
        <v>17</v>
      </c>
      <c r="D702" t="s">
        <v>37</v>
      </c>
      <c r="E702" s="2">
        <v>5371.79</v>
      </c>
      <c r="F702">
        <v>16</v>
      </c>
      <c r="G702" t="s">
        <v>31</v>
      </c>
      <c r="H702" s="2">
        <v>3466.11</v>
      </c>
      <c r="I702" s="2">
        <v>3799.67</v>
      </c>
      <c r="J702" t="s">
        <v>20</v>
      </c>
      <c r="K702">
        <v>0.01</v>
      </c>
      <c r="L702" t="s">
        <v>21</v>
      </c>
      <c r="M702" t="s">
        <v>32</v>
      </c>
      <c r="N702" t="s">
        <v>47</v>
      </c>
      <c r="O702" s="2">
        <f>_Salesdata[[#This Row],[Unit_Price]] * _Salesdata[[#This Row],[Quantity_Sold]]</f>
        <v>60794.720000000001</v>
      </c>
      <c r="P702" s="2">
        <f>_Salesdata[[#This Row],[Unit_Cost]] * _Salesdata[[#This Row],[Quantity_Sold]]</f>
        <v>55457.760000000002</v>
      </c>
      <c r="Q702" s="2">
        <f>_Salesdata[[#This Row],[Gross_Sales]] - _Salesdata[[#This Row],[Total Cost]]</f>
        <v>5336.9599999999991</v>
      </c>
      <c r="R702" s="2"/>
    </row>
    <row r="703" spans="1:18" x14ac:dyDescent="0.25">
      <c r="A703">
        <v>1034</v>
      </c>
      <c r="B703" s="1">
        <v>45030</v>
      </c>
      <c r="C703" t="s">
        <v>24</v>
      </c>
      <c r="D703" t="s">
        <v>25</v>
      </c>
      <c r="E703" s="2">
        <v>534.61</v>
      </c>
      <c r="F703">
        <v>3</v>
      </c>
      <c r="G703" t="s">
        <v>19</v>
      </c>
      <c r="H703" s="2">
        <v>3472.51</v>
      </c>
      <c r="I703" s="2">
        <v>3732</v>
      </c>
      <c r="J703" t="s">
        <v>27</v>
      </c>
      <c r="K703">
        <v>0.06</v>
      </c>
      <c r="L703" t="s">
        <v>21</v>
      </c>
      <c r="M703" t="s">
        <v>22</v>
      </c>
      <c r="N703" t="s">
        <v>29</v>
      </c>
      <c r="O703" s="2">
        <f>_Salesdata[[#This Row],[Unit_Price]] * _Salesdata[[#This Row],[Quantity_Sold]]</f>
        <v>11196</v>
      </c>
      <c r="P703" s="2">
        <f>_Salesdata[[#This Row],[Unit_Cost]] * _Salesdata[[#This Row],[Quantity_Sold]]</f>
        <v>10417.530000000001</v>
      </c>
      <c r="Q703" s="2">
        <f>_Salesdata[[#This Row],[Gross_Sales]] - _Salesdata[[#This Row],[Total Cost]]</f>
        <v>778.46999999999935</v>
      </c>
      <c r="R703" s="2"/>
    </row>
    <row r="704" spans="1:18" x14ac:dyDescent="0.25">
      <c r="A704">
        <v>1047</v>
      </c>
      <c r="B704" s="1">
        <v>45132</v>
      </c>
      <c r="C704" t="s">
        <v>35</v>
      </c>
      <c r="D704" t="s">
        <v>18</v>
      </c>
      <c r="E704" s="2">
        <v>2936.54</v>
      </c>
      <c r="F704">
        <v>19</v>
      </c>
      <c r="G704" t="s">
        <v>39</v>
      </c>
      <c r="H704" s="2">
        <v>3484.62</v>
      </c>
      <c r="I704" s="2">
        <v>3781.5499999999902</v>
      </c>
      <c r="J704" t="s">
        <v>20</v>
      </c>
      <c r="K704">
        <v>0.21</v>
      </c>
      <c r="L704" t="s">
        <v>28</v>
      </c>
      <c r="M704" t="s">
        <v>32</v>
      </c>
      <c r="N704" t="s">
        <v>36</v>
      </c>
      <c r="O704" s="2">
        <f>_Salesdata[[#This Row],[Unit_Price]] * _Salesdata[[#This Row],[Quantity_Sold]]</f>
        <v>71849.449999999808</v>
      </c>
      <c r="P704" s="2">
        <f>_Salesdata[[#This Row],[Unit_Cost]] * _Salesdata[[#This Row],[Quantity_Sold]]</f>
        <v>66207.78</v>
      </c>
      <c r="Q704" s="2">
        <f>_Salesdata[[#This Row],[Gross_Sales]] - _Salesdata[[#This Row],[Total Cost]]</f>
        <v>5641.6699999998091</v>
      </c>
      <c r="R704" s="2"/>
    </row>
    <row r="705" spans="1:18" x14ac:dyDescent="0.25">
      <c r="A705">
        <v>1067</v>
      </c>
      <c r="B705" s="1">
        <v>44993</v>
      </c>
      <c r="C705" t="s">
        <v>17</v>
      </c>
      <c r="D705" t="s">
        <v>18</v>
      </c>
      <c r="E705" s="2">
        <v>7078.22</v>
      </c>
      <c r="F705">
        <v>28</v>
      </c>
      <c r="G705" t="s">
        <v>26</v>
      </c>
      <c r="H705" s="2">
        <v>3489.85</v>
      </c>
      <c r="I705" s="2">
        <v>3842.5499999999902</v>
      </c>
      <c r="J705" t="s">
        <v>27</v>
      </c>
      <c r="K705">
        <v>0.03</v>
      </c>
      <c r="L705" t="s">
        <v>44</v>
      </c>
      <c r="M705" t="s">
        <v>22</v>
      </c>
      <c r="N705" t="s">
        <v>23</v>
      </c>
      <c r="O705" s="2">
        <f>_Salesdata[[#This Row],[Unit_Price]] * _Salesdata[[#This Row],[Quantity_Sold]]</f>
        <v>107591.39999999973</v>
      </c>
      <c r="P705" s="2">
        <f>_Salesdata[[#This Row],[Unit_Cost]] * _Salesdata[[#This Row],[Quantity_Sold]]</f>
        <v>97715.8</v>
      </c>
      <c r="Q705" s="2">
        <f>_Salesdata[[#This Row],[Gross_Sales]] - _Salesdata[[#This Row],[Total Cost]]</f>
        <v>9875.5999999997293</v>
      </c>
      <c r="R705" s="2"/>
    </row>
    <row r="706" spans="1:18" x14ac:dyDescent="0.25">
      <c r="A706">
        <v>1061</v>
      </c>
      <c r="B706" s="1">
        <v>45038</v>
      </c>
      <c r="C706" t="s">
        <v>48</v>
      </c>
      <c r="D706" t="s">
        <v>40</v>
      </c>
      <c r="E706" s="2">
        <v>8345.02</v>
      </c>
      <c r="F706">
        <v>39</v>
      </c>
      <c r="G706" t="s">
        <v>26</v>
      </c>
      <c r="H706" s="2">
        <v>3494.19</v>
      </c>
      <c r="I706" s="2">
        <v>3746</v>
      </c>
      <c r="J706" t="s">
        <v>20</v>
      </c>
      <c r="K706">
        <v>0.25</v>
      </c>
      <c r="L706" t="s">
        <v>44</v>
      </c>
      <c r="M706" t="s">
        <v>32</v>
      </c>
      <c r="N706" t="s">
        <v>50</v>
      </c>
      <c r="O706" s="2">
        <f>_Salesdata[[#This Row],[Unit_Price]] * _Salesdata[[#This Row],[Quantity_Sold]]</f>
        <v>146094</v>
      </c>
      <c r="P706" s="2">
        <f>_Salesdata[[#This Row],[Unit_Cost]] * _Salesdata[[#This Row],[Quantity_Sold]]</f>
        <v>136273.41</v>
      </c>
      <c r="Q706" s="2">
        <f>_Salesdata[[#This Row],[Gross_Sales]] - _Salesdata[[#This Row],[Total Cost]]</f>
        <v>9820.5899999999965</v>
      </c>
      <c r="R706" s="2"/>
    </row>
    <row r="707" spans="1:18" x14ac:dyDescent="0.25">
      <c r="A707">
        <v>1059</v>
      </c>
      <c r="B707" s="1">
        <v>45018</v>
      </c>
      <c r="C707" t="s">
        <v>48</v>
      </c>
      <c r="D707" t="s">
        <v>25</v>
      </c>
      <c r="E707" s="2">
        <v>3595.2</v>
      </c>
      <c r="F707">
        <v>12</v>
      </c>
      <c r="G707" t="s">
        <v>31</v>
      </c>
      <c r="H707" s="2">
        <v>3496.15</v>
      </c>
      <c r="I707" s="2">
        <v>3955.75</v>
      </c>
      <c r="J707" t="s">
        <v>20</v>
      </c>
      <c r="K707">
        <v>0.28000000000000003</v>
      </c>
      <c r="L707" t="s">
        <v>21</v>
      </c>
      <c r="M707" t="s">
        <v>32</v>
      </c>
      <c r="N707" t="s">
        <v>49</v>
      </c>
      <c r="O707" s="2">
        <f>_Salesdata[[#This Row],[Unit_Price]] * _Salesdata[[#This Row],[Quantity_Sold]]</f>
        <v>47469</v>
      </c>
      <c r="P707" s="2">
        <f>_Salesdata[[#This Row],[Unit_Cost]] * _Salesdata[[#This Row],[Quantity_Sold]]</f>
        <v>41953.8</v>
      </c>
      <c r="Q707" s="2">
        <f>_Salesdata[[#This Row],[Gross_Sales]] - _Salesdata[[#This Row],[Total Cost]]</f>
        <v>5515.1999999999971</v>
      </c>
      <c r="R707" s="2"/>
    </row>
    <row r="708" spans="1:18" x14ac:dyDescent="0.25">
      <c r="A708">
        <v>1084</v>
      </c>
      <c r="B708" s="1">
        <v>45151</v>
      </c>
      <c r="C708" t="s">
        <v>24</v>
      </c>
      <c r="D708" t="s">
        <v>25</v>
      </c>
      <c r="E708" s="2">
        <v>1290.05</v>
      </c>
      <c r="F708">
        <v>21</v>
      </c>
      <c r="G708" t="s">
        <v>39</v>
      </c>
      <c r="H708" s="2">
        <v>3497.98</v>
      </c>
      <c r="I708" s="2">
        <v>3765.31</v>
      </c>
      <c r="J708" t="s">
        <v>27</v>
      </c>
      <c r="K708">
        <v>0.08</v>
      </c>
      <c r="L708" t="s">
        <v>21</v>
      </c>
      <c r="M708" t="s">
        <v>22</v>
      </c>
      <c r="N708" t="s">
        <v>29</v>
      </c>
      <c r="O708" s="2">
        <f>_Salesdata[[#This Row],[Unit_Price]] * _Salesdata[[#This Row],[Quantity_Sold]]</f>
        <v>79071.509999999995</v>
      </c>
      <c r="P708" s="2">
        <f>_Salesdata[[#This Row],[Unit_Cost]] * _Salesdata[[#This Row],[Quantity_Sold]]</f>
        <v>73457.58</v>
      </c>
      <c r="Q708" s="2">
        <f>_Salesdata[[#This Row],[Gross_Sales]] - _Salesdata[[#This Row],[Total Cost]]</f>
        <v>5613.929999999993</v>
      </c>
      <c r="R708" s="2"/>
    </row>
    <row r="709" spans="1:18" x14ac:dyDescent="0.25">
      <c r="A709">
        <v>1089</v>
      </c>
      <c r="B709" s="1">
        <v>45211</v>
      </c>
      <c r="C709" t="s">
        <v>30</v>
      </c>
      <c r="D709" t="s">
        <v>40</v>
      </c>
      <c r="E709" s="2">
        <v>9813.07</v>
      </c>
      <c r="F709">
        <v>25</v>
      </c>
      <c r="G709" t="s">
        <v>39</v>
      </c>
      <c r="H709" s="2">
        <v>3512.69</v>
      </c>
      <c r="I709" s="2">
        <v>3964.63</v>
      </c>
      <c r="J709" t="s">
        <v>20</v>
      </c>
      <c r="K709">
        <v>0.03</v>
      </c>
      <c r="L709" t="s">
        <v>28</v>
      </c>
      <c r="M709" t="s">
        <v>32</v>
      </c>
      <c r="N709" t="s">
        <v>41</v>
      </c>
      <c r="O709" s="2">
        <f>_Salesdata[[#This Row],[Unit_Price]] * _Salesdata[[#This Row],[Quantity_Sold]]</f>
        <v>99115.75</v>
      </c>
      <c r="P709" s="2">
        <f>_Salesdata[[#This Row],[Unit_Cost]] * _Salesdata[[#This Row],[Quantity_Sold]]</f>
        <v>87817.25</v>
      </c>
      <c r="Q709" s="2">
        <f>_Salesdata[[#This Row],[Gross_Sales]] - _Salesdata[[#This Row],[Total Cost]]</f>
        <v>11298.5</v>
      </c>
      <c r="R709" s="2"/>
    </row>
    <row r="710" spans="1:18" x14ac:dyDescent="0.25">
      <c r="A710">
        <v>1055</v>
      </c>
      <c r="B710" s="1">
        <v>45261</v>
      </c>
      <c r="C710" t="s">
        <v>35</v>
      </c>
      <c r="D710" t="s">
        <v>25</v>
      </c>
      <c r="E710" s="2">
        <v>4102.47</v>
      </c>
      <c r="F710">
        <v>8</v>
      </c>
      <c r="G710" t="s">
        <v>39</v>
      </c>
      <c r="H710" s="2">
        <v>3513</v>
      </c>
      <c r="I710" s="2">
        <v>3838.42</v>
      </c>
      <c r="J710" t="s">
        <v>20</v>
      </c>
      <c r="K710">
        <v>0.13</v>
      </c>
      <c r="L710" t="s">
        <v>44</v>
      </c>
      <c r="M710" t="s">
        <v>22</v>
      </c>
      <c r="N710" t="s">
        <v>56</v>
      </c>
      <c r="O710" s="2">
        <f>_Salesdata[[#This Row],[Unit_Price]] * _Salesdata[[#This Row],[Quantity_Sold]]</f>
        <v>30707.360000000001</v>
      </c>
      <c r="P710" s="2">
        <f>_Salesdata[[#This Row],[Unit_Cost]] * _Salesdata[[#This Row],[Quantity_Sold]]</f>
        <v>28104</v>
      </c>
      <c r="Q710" s="2">
        <f>_Salesdata[[#This Row],[Gross_Sales]] - _Salesdata[[#This Row],[Total Cost]]</f>
        <v>2603.3600000000006</v>
      </c>
      <c r="R710" s="2"/>
    </row>
    <row r="711" spans="1:18" x14ac:dyDescent="0.25">
      <c r="A711">
        <v>1075</v>
      </c>
      <c r="B711" s="1">
        <v>45041</v>
      </c>
      <c r="C711" t="s">
        <v>30</v>
      </c>
      <c r="D711" t="s">
        <v>25</v>
      </c>
      <c r="E711" s="2">
        <v>4038.58</v>
      </c>
      <c r="F711">
        <v>44</v>
      </c>
      <c r="G711" t="s">
        <v>39</v>
      </c>
      <c r="H711" s="2">
        <v>3519.29</v>
      </c>
      <c r="I711" s="2">
        <v>3822.98</v>
      </c>
      <c r="J711" t="s">
        <v>20</v>
      </c>
      <c r="K711">
        <v>0.27</v>
      </c>
      <c r="L711" t="s">
        <v>44</v>
      </c>
      <c r="M711" t="s">
        <v>22</v>
      </c>
      <c r="N711" t="s">
        <v>45</v>
      </c>
      <c r="O711" s="2">
        <f>_Salesdata[[#This Row],[Unit_Price]] * _Salesdata[[#This Row],[Quantity_Sold]]</f>
        <v>168211.12</v>
      </c>
      <c r="P711" s="2">
        <f>_Salesdata[[#This Row],[Unit_Cost]] * _Salesdata[[#This Row],[Quantity_Sold]]</f>
        <v>154848.76</v>
      </c>
      <c r="Q711" s="2">
        <f>_Salesdata[[#This Row],[Gross_Sales]] - _Salesdata[[#This Row],[Total Cost]]</f>
        <v>13362.359999999986</v>
      </c>
      <c r="R711" s="2"/>
    </row>
    <row r="712" spans="1:18" x14ac:dyDescent="0.25">
      <c r="A712">
        <v>1076</v>
      </c>
      <c r="B712" s="1">
        <v>45276</v>
      </c>
      <c r="C712" t="s">
        <v>48</v>
      </c>
      <c r="D712" t="s">
        <v>18</v>
      </c>
      <c r="E712" s="2">
        <v>7160.75</v>
      </c>
      <c r="F712">
        <v>30</v>
      </c>
      <c r="G712" t="s">
        <v>19</v>
      </c>
      <c r="H712" s="2">
        <v>3519.63</v>
      </c>
      <c r="I712" s="2">
        <v>3774.65</v>
      </c>
      <c r="J712" t="s">
        <v>27</v>
      </c>
      <c r="K712">
        <v>0.2</v>
      </c>
      <c r="L712" t="s">
        <v>28</v>
      </c>
      <c r="M712" t="s">
        <v>32</v>
      </c>
      <c r="N712" t="s">
        <v>54</v>
      </c>
      <c r="O712" s="2">
        <f>_Salesdata[[#This Row],[Unit_Price]] * _Salesdata[[#This Row],[Quantity_Sold]]</f>
        <v>113239.5</v>
      </c>
      <c r="P712" s="2">
        <f>_Salesdata[[#This Row],[Unit_Cost]] * _Salesdata[[#This Row],[Quantity_Sold]]</f>
        <v>105588.90000000001</v>
      </c>
      <c r="Q712" s="2">
        <f>_Salesdata[[#This Row],[Gross_Sales]] - _Salesdata[[#This Row],[Total Cost]]</f>
        <v>7650.5999999999913</v>
      </c>
      <c r="R712" s="2"/>
    </row>
    <row r="713" spans="1:18" x14ac:dyDescent="0.25">
      <c r="A713">
        <v>1039</v>
      </c>
      <c r="B713" s="1">
        <v>45059</v>
      </c>
      <c r="C713" t="s">
        <v>48</v>
      </c>
      <c r="D713" t="s">
        <v>25</v>
      </c>
      <c r="E713" s="2">
        <v>4422.4799999999996</v>
      </c>
      <c r="F713">
        <v>40</v>
      </c>
      <c r="G713" t="s">
        <v>39</v>
      </c>
      <c r="H713" s="2">
        <v>3536.46</v>
      </c>
      <c r="I713" s="2">
        <v>3945.82</v>
      </c>
      <c r="J713" t="s">
        <v>27</v>
      </c>
      <c r="K713">
        <v>0.24</v>
      </c>
      <c r="L713" t="s">
        <v>44</v>
      </c>
      <c r="M713" t="s">
        <v>22</v>
      </c>
      <c r="N713" t="s">
        <v>49</v>
      </c>
      <c r="O713" s="2">
        <f>_Salesdata[[#This Row],[Unit_Price]] * _Salesdata[[#This Row],[Quantity_Sold]]</f>
        <v>157832.80000000002</v>
      </c>
      <c r="P713" s="2">
        <f>_Salesdata[[#This Row],[Unit_Cost]] * _Salesdata[[#This Row],[Quantity_Sold]]</f>
        <v>141458.4</v>
      </c>
      <c r="Q713" s="2">
        <f>_Salesdata[[#This Row],[Gross_Sales]] - _Salesdata[[#This Row],[Total Cost]]</f>
        <v>16374.400000000023</v>
      </c>
      <c r="R713" s="2"/>
    </row>
    <row r="714" spans="1:18" x14ac:dyDescent="0.25">
      <c r="A714">
        <v>1090</v>
      </c>
      <c r="B714" s="1">
        <v>44965</v>
      </c>
      <c r="C714" t="s">
        <v>35</v>
      </c>
      <c r="D714" t="s">
        <v>37</v>
      </c>
      <c r="E714" s="2">
        <v>1740.91</v>
      </c>
      <c r="F714">
        <v>44</v>
      </c>
      <c r="G714" t="s">
        <v>19</v>
      </c>
      <c r="H714" s="2">
        <v>3542.18</v>
      </c>
      <c r="I714" s="2">
        <v>3578.49</v>
      </c>
      <c r="J714" t="s">
        <v>20</v>
      </c>
      <c r="K714">
        <v>0.12</v>
      </c>
      <c r="L714" t="s">
        <v>21</v>
      </c>
      <c r="M714" t="s">
        <v>22</v>
      </c>
      <c r="N714" t="s">
        <v>38</v>
      </c>
      <c r="O714" s="2">
        <f>_Salesdata[[#This Row],[Unit_Price]] * _Salesdata[[#This Row],[Quantity_Sold]]</f>
        <v>157453.56</v>
      </c>
      <c r="P714" s="2">
        <f>_Salesdata[[#This Row],[Unit_Cost]] * _Salesdata[[#This Row],[Quantity_Sold]]</f>
        <v>155855.91999999998</v>
      </c>
      <c r="Q714" s="2">
        <f>_Salesdata[[#This Row],[Gross_Sales]] - _Salesdata[[#This Row],[Total Cost]]</f>
        <v>1597.640000000014</v>
      </c>
      <c r="R714" s="2"/>
    </row>
    <row r="715" spans="1:18" x14ac:dyDescent="0.25">
      <c r="A715">
        <v>1058</v>
      </c>
      <c r="B715" s="1">
        <v>44987</v>
      </c>
      <c r="C715" t="s">
        <v>48</v>
      </c>
      <c r="D715" t="s">
        <v>25</v>
      </c>
      <c r="E715" s="2">
        <v>9333.83</v>
      </c>
      <c r="F715">
        <v>39</v>
      </c>
      <c r="G715" t="s">
        <v>31</v>
      </c>
      <c r="H715" s="2">
        <v>3542.8</v>
      </c>
      <c r="I715" s="2">
        <v>3603.02</v>
      </c>
      <c r="J715" t="s">
        <v>20</v>
      </c>
      <c r="K715">
        <v>0.26</v>
      </c>
      <c r="L715" t="s">
        <v>21</v>
      </c>
      <c r="M715" t="s">
        <v>22</v>
      </c>
      <c r="N715" t="s">
        <v>49</v>
      </c>
      <c r="O715" s="2">
        <f>_Salesdata[[#This Row],[Unit_Price]] * _Salesdata[[#This Row],[Quantity_Sold]]</f>
        <v>140517.78</v>
      </c>
      <c r="P715" s="2">
        <f>_Salesdata[[#This Row],[Unit_Cost]] * _Salesdata[[#This Row],[Quantity_Sold]]</f>
        <v>138169.20000000001</v>
      </c>
      <c r="Q715" s="2">
        <f>_Salesdata[[#This Row],[Gross_Sales]] - _Salesdata[[#This Row],[Total Cost]]</f>
        <v>2348.5799999999872</v>
      </c>
      <c r="R715" s="2"/>
    </row>
    <row r="716" spans="1:18" x14ac:dyDescent="0.25">
      <c r="A716">
        <v>1051</v>
      </c>
      <c r="B716" s="1">
        <v>45020</v>
      </c>
      <c r="C716" t="s">
        <v>17</v>
      </c>
      <c r="D716" t="s">
        <v>18</v>
      </c>
      <c r="E716" s="2">
        <v>198.25</v>
      </c>
      <c r="F716">
        <v>12</v>
      </c>
      <c r="G716" t="s">
        <v>26</v>
      </c>
      <c r="H716" s="2">
        <v>3544.48</v>
      </c>
      <c r="I716" s="2">
        <v>3723.66</v>
      </c>
      <c r="J716" t="s">
        <v>20</v>
      </c>
      <c r="K716">
        <v>0.19</v>
      </c>
      <c r="L716" t="s">
        <v>21</v>
      </c>
      <c r="M716" t="s">
        <v>22</v>
      </c>
      <c r="N716" t="s">
        <v>23</v>
      </c>
      <c r="O716" s="2">
        <f>_Salesdata[[#This Row],[Unit_Price]] * _Salesdata[[#This Row],[Quantity_Sold]]</f>
        <v>44683.92</v>
      </c>
      <c r="P716" s="2">
        <f>_Salesdata[[#This Row],[Unit_Cost]] * _Salesdata[[#This Row],[Quantity_Sold]]</f>
        <v>42533.760000000002</v>
      </c>
      <c r="Q716" s="2">
        <f>_Salesdata[[#This Row],[Gross_Sales]] - _Salesdata[[#This Row],[Total Cost]]</f>
        <v>2150.1599999999962</v>
      </c>
      <c r="R716" s="2"/>
    </row>
    <row r="717" spans="1:18" x14ac:dyDescent="0.25">
      <c r="A717">
        <v>1036</v>
      </c>
      <c r="B717" s="1">
        <v>45192</v>
      </c>
      <c r="C717" t="s">
        <v>17</v>
      </c>
      <c r="D717" t="s">
        <v>37</v>
      </c>
      <c r="E717" s="2">
        <v>3971.23</v>
      </c>
      <c r="F717">
        <v>42</v>
      </c>
      <c r="G717" t="s">
        <v>39</v>
      </c>
      <c r="H717" s="2">
        <v>3549.43</v>
      </c>
      <c r="I717" s="2">
        <v>3967.6899999999901</v>
      </c>
      <c r="J717" t="s">
        <v>27</v>
      </c>
      <c r="K717">
        <v>0.14000000000000001</v>
      </c>
      <c r="L717" t="s">
        <v>44</v>
      </c>
      <c r="M717" t="s">
        <v>22</v>
      </c>
      <c r="N717" t="s">
        <v>47</v>
      </c>
      <c r="O717" s="2">
        <f>_Salesdata[[#This Row],[Unit_Price]] * _Salesdata[[#This Row],[Quantity_Sold]]</f>
        <v>166642.97999999957</v>
      </c>
      <c r="P717" s="2">
        <f>_Salesdata[[#This Row],[Unit_Cost]] * _Salesdata[[#This Row],[Quantity_Sold]]</f>
        <v>149076.06</v>
      </c>
      <c r="Q717" s="2">
        <f>_Salesdata[[#This Row],[Gross_Sales]] - _Salesdata[[#This Row],[Total Cost]]</f>
        <v>17566.919999999576</v>
      </c>
      <c r="R717" s="2"/>
    </row>
    <row r="718" spans="1:18" x14ac:dyDescent="0.25">
      <c r="A718">
        <v>1053</v>
      </c>
      <c r="B718" s="1">
        <v>45272</v>
      </c>
      <c r="C718" t="s">
        <v>24</v>
      </c>
      <c r="D718" t="s">
        <v>40</v>
      </c>
      <c r="E718" s="2">
        <v>3382.49</v>
      </c>
      <c r="F718">
        <v>47</v>
      </c>
      <c r="G718" t="s">
        <v>26</v>
      </c>
      <c r="H718" s="2">
        <v>3551.76</v>
      </c>
      <c r="I718" s="2">
        <v>3696.1</v>
      </c>
      <c r="J718" t="s">
        <v>20</v>
      </c>
      <c r="K718">
        <v>0.15</v>
      </c>
      <c r="L718" t="s">
        <v>44</v>
      </c>
      <c r="M718" t="s">
        <v>32</v>
      </c>
      <c r="N718" t="s">
        <v>55</v>
      </c>
      <c r="O718" s="2">
        <f>_Salesdata[[#This Row],[Unit_Price]] * _Salesdata[[#This Row],[Quantity_Sold]]</f>
        <v>173716.69999999998</v>
      </c>
      <c r="P718" s="2">
        <f>_Salesdata[[#This Row],[Unit_Cost]] * _Salesdata[[#This Row],[Quantity_Sold]]</f>
        <v>166932.72</v>
      </c>
      <c r="Q718" s="2">
        <f>_Salesdata[[#This Row],[Gross_Sales]] - _Salesdata[[#This Row],[Total Cost]]</f>
        <v>6783.9799999999814</v>
      </c>
      <c r="R718" s="2"/>
    </row>
    <row r="719" spans="1:18" x14ac:dyDescent="0.25">
      <c r="A719">
        <v>1100</v>
      </c>
      <c r="B719" s="1">
        <v>45069</v>
      </c>
      <c r="C719" t="s">
        <v>17</v>
      </c>
      <c r="D719" t="s">
        <v>25</v>
      </c>
      <c r="E719" s="2">
        <v>7667.96</v>
      </c>
      <c r="F719">
        <v>29</v>
      </c>
      <c r="G719" t="s">
        <v>31</v>
      </c>
      <c r="H719" s="2">
        <v>3559.56</v>
      </c>
      <c r="I719" s="2">
        <v>3607.15</v>
      </c>
      <c r="J719" t="s">
        <v>20</v>
      </c>
      <c r="K719">
        <v>0.21</v>
      </c>
      <c r="L719" t="s">
        <v>21</v>
      </c>
      <c r="M719" t="s">
        <v>32</v>
      </c>
      <c r="N719" t="s">
        <v>34</v>
      </c>
      <c r="O719" s="2">
        <f>_Salesdata[[#This Row],[Unit_Price]] * _Salesdata[[#This Row],[Quantity_Sold]]</f>
        <v>104607.35</v>
      </c>
      <c r="P719" s="2">
        <f>_Salesdata[[#This Row],[Unit_Cost]] * _Salesdata[[#This Row],[Quantity_Sold]]</f>
        <v>103227.24</v>
      </c>
      <c r="Q719" s="2">
        <f>_Salesdata[[#This Row],[Gross_Sales]] - _Salesdata[[#This Row],[Total Cost]]</f>
        <v>1380.1100000000006</v>
      </c>
      <c r="R719" s="2"/>
    </row>
    <row r="720" spans="1:18" x14ac:dyDescent="0.25">
      <c r="A720">
        <v>1049</v>
      </c>
      <c r="B720" s="1">
        <v>44978</v>
      </c>
      <c r="C720" t="s">
        <v>24</v>
      </c>
      <c r="D720" t="s">
        <v>18</v>
      </c>
      <c r="E720" s="2">
        <v>783.55</v>
      </c>
      <c r="F720">
        <v>31</v>
      </c>
      <c r="G720" t="s">
        <v>26</v>
      </c>
      <c r="H720" s="2">
        <v>3570.24</v>
      </c>
      <c r="I720" s="2">
        <v>3712.25</v>
      </c>
      <c r="J720" t="s">
        <v>27</v>
      </c>
      <c r="K720">
        <v>0.03</v>
      </c>
      <c r="L720" t="s">
        <v>28</v>
      </c>
      <c r="M720" t="s">
        <v>22</v>
      </c>
      <c r="N720" t="s">
        <v>46</v>
      </c>
      <c r="O720" s="2">
        <f>_Salesdata[[#This Row],[Unit_Price]] * _Salesdata[[#This Row],[Quantity_Sold]]</f>
        <v>115079.75</v>
      </c>
      <c r="P720" s="2">
        <f>_Salesdata[[#This Row],[Unit_Cost]] * _Salesdata[[#This Row],[Quantity_Sold]]</f>
        <v>110677.43999999999</v>
      </c>
      <c r="Q720" s="2">
        <f>_Salesdata[[#This Row],[Gross_Sales]] - _Salesdata[[#This Row],[Total Cost]]</f>
        <v>4402.3100000000122</v>
      </c>
      <c r="R720" s="2"/>
    </row>
    <row r="721" spans="1:18" x14ac:dyDescent="0.25">
      <c r="A721">
        <v>1044</v>
      </c>
      <c r="B721" s="1">
        <v>45036</v>
      </c>
      <c r="C721" t="s">
        <v>35</v>
      </c>
      <c r="D721" t="s">
        <v>25</v>
      </c>
      <c r="E721" s="2">
        <v>8564.7999999999993</v>
      </c>
      <c r="F721">
        <v>34</v>
      </c>
      <c r="G721" t="s">
        <v>31</v>
      </c>
      <c r="H721" s="2">
        <v>3573.3</v>
      </c>
      <c r="I721" s="2">
        <v>3740.13</v>
      </c>
      <c r="J721" t="s">
        <v>20</v>
      </c>
      <c r="K721">
        <v>0.01</v>
      </c>
      <c r="L721" t="s">
        <v>28</v>
      </c>
      <c r="M721" t="s">
        <v>22</v>
      </c>
      <c r="N721" t="s">
        <v>56</v>
      </c>
      <c r="O721" s="2">
        <f>_Salesdata[[#This Row],[Unit_Price]] * _Salesdata[[#This Row],[Quantity_Sold]]</f>
        <v>127164.42</v>
      </c>
      <c r="P721" s="2">
        <f>_Salesdata[[#This Row],[Unit_Cost]] * _Salesdata[[#This Row],[Quantity_Sold]]</f>
        <v>121492.20000000001</v>
      </c>
      <c r="Q721" s="2">
        <f>_Salesdata[[#This Row],[Gross_Sales]] - _Salesdata[[#This Row],[Total Cost]]</f>
        <v>5672.2199999999866</v>
      </c>
      <c r="R721" s="2"/>
    </row>
    <row r="722" spans="1:18" x14ac:dyDescent="0.25">
      <c r="A722">
        <v>1063</v>
      </c>
      <c r="B722" s="1">
        <v>45064</v>
      </c>
      <c r="C722" t="s">
        <v>17</v>
      </c>
      <c r="D722" t="s">
        <v>25</v>
      </c>
      <c r="E722" s="2">
        <v>3098.87</v>
      </c>
      <c r="F722">
        <v>39</v>
      </c>
      <c r="G722" t="s">
        <v>31</v>
      </c>
      <c r="H722" s="2">
        <v>3577.69</v>
      </c>
      <c r="I722" s="2">
        <v>3931.25</v>
      </c>
      <c r="J722" t="s">
        <v>20</v>
      </c>
      <c r="K722">
        <v>0.21</v>
      </c>
      <c r="L722" t="s">
        <v>21</v>
      </c>
      <c r="M722" t="s">
        <v>32</v>
      </c>
      <c r="N722" t="s">
        <v>34</v>
      </c>
      <c r="O722" s="2">
        <f>_Salesdata[[#This Row],[Unit_Price]] * _Salesdata[[#This Row],[Quantity_Sold]]</f>
        <v>153318.75</v>
      </c>
      <c r="P722" s="2">
        <f>_Salesdata[[#This Row],[Unit_Cost]] * _Salesdata[[#This Row],[Quantity_Sold]]</f>
        <v>139529.91</v>
      </c>
      <c r="Q722" s="2">
        <f>_Salesdata[[#This Row],[Gross_Sales]] - _Salesdata[[#This Row],[Total Cost]]</f>
        <v>13788.839999999997</v>
      </c>
      <c r="R722" s="2"/>
    </row>
    <row r="723" spans="1:18" x14ac:dyDescent="0.25">
      <c r="A723">
        <v>1058</v>
      </c>
      <c r="B723" s="1">
        <v>45196</v>
      </c>
      <c r="C723" t="s">
        <v>48</v>
      </c>
      <c r="D723" t="s">
        <v>25</v>
      </c>
      <c r="E723" s="2">
        <v>1193.28</v>
      </c>
      <c r="F723">
        <v>29</v>
      </c>
      <c r="G723" t="s">
        <v>26</v>
      </c>
      <c r="H723" s="2">
        <v>3578.77</v>
      </c>
      <c r="I723" s="2">
        <v>3635.02</v>
      </c>
      <c r="J723" t="s">
        <v>27</v>
      </c>
      <c r="K723">
        <v>0.2</v>
      </c>
      <c r="L723" t="s">
        <v>44</v>
      </c>
      <c r="M723" t="s">
        <v>32</v>
      </c>
      <c r="N723" t="s">
        <v>49</v>
      </c>
      <c r="O723" s="2">
        <f>_Salesdata[[#This Row],[Unit_Price]] * _Salesdata[[#This Row],[Quantity_Sold]]</f>
        <v>105415.58</v>
      </c>
      <c r="P723" s="2">
        <f>_Salesdata[[#This Row],[Unit_Cost]] * _Salesdata[[#This Row],[Quantity_Sold]]</f>
        <v>103784.33</v>
      </c>
      <c r="Q723" s="2">
        <f>_Salesdata[[#This Row],[Gross_Sales]] - _Salesdata[[#This Row],[Total Cost]]</f>
        <v>1631.25</v>
      </c>
      <c r="R723" s="2"/>
    </row>
    <row r="724" spans="1:18" x14ac:dyDescent="0.25">
      <c r="A724">
        <v>1092</v>
      </c>
      <c r="B724" s="1">
        <v>44966</v>
      </c>
      <c r="C724" t="s">
        <v>24</v>
      </c>
      <c r="D724" t="s">
        <v>40</v>
      </c>
      <c r="E724" s="2">
        <v>7192.33</v>
      </c>
      <c r="F724">
        <v>14</v>
      </c>
      <c r="G724" t="s">
        <v>19</v>
      </c>
      <c r="H724" s="2">
        <v>3586.58</v>
      </c>
      <c r="I724" s="2">
        <v>4068.43</v>
      </c>
      <c r="J724" t="s">
        <v>27</v>
      </c>
      <c r="K724">
        <v>0.22</v>
      </c>
      <c r="L724" t="s">
        <v>28</v>
      </c>
      <c r="M724" t="s">
        <v>22</v>
      </c>
      <c r="N724" t="s">
        <v>55</v>
      </c>
      <c r="O724" s="2">
        <f>_Salesdata[[#This Row],[Unit_Price]] * _Salesdata[[#This Row],[Quantity_Sold]]</f>
        <v>56958.02</v>
      </c>
      <c r="P724" s="2">
        <f>_Salesdata[[#This Row],[Unit_Cost]] * _Salesdata[[#This Row],[Quantity_Sold]]</f>
        <v>50212.119999999995</v>
      </c>
      <c r="Q724" s="2">
        <f>_Salesdata[[#This Row],[Gross_Sales]] - _Salesdata[[#This Row],[Total Cost]]</f>
        <v>6745.9000000000015</v>
      </c>
      <c r="R724" s="2"/>
    </row>
    <row r="725" spans="1:18" x14ac:dyDescent="0.25">
      <c r="A725">
        <v>1045</v>
      </c>
      <c r="B725" s="1">
        <v>45275</v>
      </c>
      <c r="C725" t="s">
        <v>30</v>
      </c>
      <c r="D725" t="s">
        <v>40</v>
      </c>
      <c r="E725" s="2">
        <v>3517.4</v>
      </c>
      <c r="F725">
        <v>42</v>
      </c>
      <c r="G725" t="s">
        <v>19</v>
      </c>
      <c r="H725" s="2">
        <v>3587.74</v>
      </c>
      <c r="I725" s="2">
        <v>3745.91</v>
      </c>
      <c r="J725" t="s">
        <v>20</v>
      </c>
      <c r="K725">
        <v>0.1</v>
      </c>
      <c r="L725" t="s">
        <v>21</v>
      </c>
      <c r="M725" t="s">
        <v>22</v>
      </c>
      <c r="N725" t="s">
        <v>41</v>
      </c>
      <c r="O725" s="2">
        <f>_Salesdata[[#This Row],[Unit_Price]] * _Salesdata[[#This Row],[Quantity_Sold]]</f>
        <v>157328.22</v>
      </c>
      <c r="P725" s="2">
        <f>_Salesdata[[#This Row],[Unit_Cost]] * _Salesdata[[#This Row],[Quantity_Sold]]</f>
        <v>150685.07999999999</v>
      </c>
      <c r="Q725" s="2">
        <f>_Salesdata[[#This Row],[Gross_Sales]] - _Salesdata[[#This Row],[Total Cost]]</f>
        <v>6643.140000000014</v>
      </c>
      <c r="R725" s="2"/>
    </row>
    <row r="726" spans="1:18" x14ac:dyDescent="0.25">
      <c r="A726">
        <v>1095</v>
      </c>
      <c r="B726" s="1">
        <v>44988</v>
      </c>
      <c r="C726" t="s">
        <v>48</v>
      </c>
      <c r="D726" t="s">
        <v>18</v>
      </c>
      <c r="E726" s="2">
        <v>6518.35</v>
      </c>
      <c r="F726">
        <v>16</v>
      </c>
      <c r="G726" t="s">
        <v>26</v>
      </c>
      <c r="H726" s="2">
        <v>3591.05</v>
      </c>
      <c r="I726" s="2">
        <v>3625.35</v>
      </c>
      <c r="J726" t="s">
        <v>20</v>
      </c>
      <c r="K726">
        <v>0.05</v>
      </c>
      <c r="L726" t="s">
        <v>28</v>
      </c>
      <c r="M726" t="s">
        <v>32</v>
      </c>
      <c r="N726" t="s">
        <v>54</v>
      </c>
      <c r="O726" s="2">
        <f>_Salesdata[[#This Row],[Unit_Price]] * _Salesdata[[#This Row],[Quantity_Sold]]</f>
        <v>58005.599999999999</v>
      </c>
      <c r="P726" s="2">
        <f>_Salesdata[[#This Row],[Unit_Cost]] * _Salesdata[[#This Row],[Quantity_Sold]]</f>
        <v>57456.800000000003</v>
      </c>
      <c r="Q726" s="2">
        <f>_Salesdata[[#This Row],[Gross_Sales]] - _Salesdata[[#This Row],[Total Cost]]</f>
        <v>548.79999999999563</v>
      </c>
      <c r="R726" s="2"/>
    </row>
    <row r="727" spans="1:18" x14ac:dyDescent="0.25">
      <c r="A727">
        <v>1019</v>
      </c>
      <c r="B727" s="1">
        <v>45165</v>
      </c>
      <c r="C727" t="s">
        <v>35</v>
      </c>
      <c r="D727" t="s">
        <v>37</v>
      </c>
      <c r="E727" s="2">
        <v>2558.92</v>
      </c>
      <c r="F727">
        <v>18</v>
      </c>
      <c r="G727" t="s">
        <v>31</v>
      </c>
      <c r="H727" s="2">
        <v>3591.14</v>
      </c>
      <c r="I727" s="2">
        <v>3822.99</v>
      </c>
      <c r="J727" t="s">
        <v>20</v>
      </c>
      <c r="K727">
        <v>0.09</v>
      </c>
      <c r="L727" t="s">
        <v>28</v>
      </c>
      <c r="M727" t="s">
        <v>22</v>
      </c>
      <c r="N727" t="s">
        <v>38</v>
      </c>
      <c r="O727" s="2">
        <f>_Salesdata[[#This Row],[Unit_Price]] * _Salesdata[[#This Row],[Quantity_Sold]]</f>
        <v>68813.819999999992</v>
      </c>
      <c r="P727" s="2">
        <f>_Salesdata[[#This Row],[Unit_Cost]] * _Salesdata[[#This Row],[Quantity_Sold]]</f>
        <v>64640.52</v>
      </c>
      <c r="Q727" s="2">
        <f>_Salesdata[[#This Row],[Gross_Sales]] - _Salesdata[[#This Row],[Total Cost]]</f>
        <v>4173.2999999999956</v>
      </c>
      <c r="R727" s="2"/>
    </row>
    <row r="728" spans="1:18" x14ac:dyDescent="0.25">
      <c r="A728">
        <v>1005</v>
      </c>
      <c r="B728" s="1">
        <v>45242</v>
      </c>
      <c r="C728" t="s">
        <v>48</v>
      </c>
      <c r="D728" t="s">
        <v>18</v>
      </c>
      <c r="E728" s="2">
        <v>2191.1999999999998</v>
      </c>
      <c r="F728">
        <v>28</v>
      </c>
      <c r="G728" t="s">
        <v>19</v>
      </c>
      <c r="H728" s="2">
        <v>3592.32</v>
      </c>
      <c r="I728" s="2">
        <v>3813.48</v>
      </c>
      <c r="J728" t="s">
        <v>27</v>
      </c>
      <c r="K728">
        <v>7.0000000000000007E-2</v>
      </c>
      <c r="L728" t="s">
        <v>28</v>
      </c>
      <c r="M728" t="s">
        <v>32</v>
      </c>
      <c r="N728" t="s">
        <v>54</v>
      </c>
      <c r="O728" s="2">
        <f>_Salesdata[[#This Row],[Unit_Price]] * _Salesdata[[#This Row],[Quantity_Sold]]</f>
        <v>106777.44</v>
      </c>
      <c r="P728" s="2">
        <f>_Salesdata[[#This Row],[Unit_Cost]] * _Salesdata[[#This Row],[Quantity_Sold]]</f>
        <v>100584.96000000001</v>
      </c>
      <c r="Q728" s="2">
        <f>_Salesdata[[#This Row],[Gross_Sales]] - _Salesdata[[#This Row],[Total Cost]]</f>
        <v>6192.4799999999959</v>
      </c>
      <c r="R728" s="2"/>
    </row>
    <row r="729" spans="1:18" x14ac:dyDescent="0.25">
      <c r="A729">
        <v>1099</v>
      </c>
      <c r="B729" s="1">
        <v>45214</v>
      </c>
      <c r="C729" t="s">
        <v>30</v>
      </c>
      <c r="D729" t="s">
        <v>18</v>
      </c>
      <c r="E729" s="2">
        <v>6807.56</v>
      </c>
      <c r="F729">
        <v>39</v>
      </c>
      <c r="G729" t="s">
        <v>26</v>
      </c>
      <c r="H729" s="2">
        <v>3592.89</v>
      </c>
      <c r="I729" s="2">
        <v>4004</v>
      </c>
      <c r="J729" t="s">
        <v>27</v>
      </c>
      <c r="K729">
        <v>0.13</v>
      </c>
      <c r="L729" t="s">
        <v>21</v>
      </c>
      <c r="M729" t="s">
        <v>22</v>
      </c>
      <c r="N729" t="s">
        <v>33</v>
      </c>
      <c r="O729" s="2">
        <f>_Salesdata[[#This Row],[Unit_Price]] * _Salesdata[[#This Row],[Quantity_Sold]]</f>
        <v>156156</v>
      </c>
      <c r="P729" s="2">
        <f>_Salesdata[[#This Row],[Unit_Cost]] * _Salesdata[[#This Row],[Quantity_Sold]]</f>
        <v>140122.71</v>
      </c>
      <c r="Q729" s="2">
        <f>_Salesdata[[#This Row],[Gross_Sales]] - _Salesdata[[#This Row],[Total Cost]]</f>
        <v>16033.290000000008</v>
      </c>
      <c r="R729" s="2"/>
    </row>
    <row r="730" spans="1:18" x14ac:dyDescent="0.25">
      <c r="A730">
        <v>1007</v>
      </c>
      <c r="B730" s="1">
        <v>45024</v>
      </c>
      <c r="C730" t="s">
        <v>35</v>
      </c>
      <c r="D730" t="s">
        <v>18</v>
      </c>
      <c r="E730" s="2">
        <v>3758.78</v>
      </c>
      <c r="F730">
        <v>13</v>
      </c>
      <c r="G730" t="s">
        <v>19</v>
      </c>
      <c r="H730" s="2">
        <v>3597.2</v>
      </c>
      <c r="I730" s="2">
        <v>4071.8199999999902</v>
      </c>
      <c r="J730" t="s">
        <v>20</v>
      </c>
      <c r="K730">
        <v>0.28999999999999998</v>
      </c>
      <c r="L730" t="s">
        <v>44</v>
      </c>
      <c r="M730" t="s">
        <v>22</v>
      </c>
      <c r="N730" t="s">
        <v>36</v>
      </c>
      <c r="O730" s="2">
        <f>_Salesdata[[#This Row],[Unit_Price]] * _Salesdata[[#This Row],[Quantity_Sold]]</f>
        <v>52933.659999999873</v>
      </c>
      <c r="P730" s="2">
        <f>_Salesdata[[#This Row],[Unit_Cost]] * _Salesdata[[#This Row],[Quantity_Sold]]</f>
        <v>46763.6</v>
      </c>
      <c r="Q730" s="2">
        <f>_Salesdata[[#This Row],[Gross_Sales]] - _Salesdata[[#This Row],[Total Cost]]</f>
        <v>6170.059999999874</v>
      </c>
      <c r="R730" s="2"/>
    </row>
    <row r="731" spans="1:18" x14ac:dyDescent="0.25">
      <c r="A731">
        <v>1058</v>
      </c>
      <c r="B731" s="1">
        <v>45233</v>
      </c>
      <c r="C731" t="s">
        <v>30</v>
      </c>
      <c r="D731" t="s">
        <v>25</v>
      </c>
      <c r="E731" s="2">
        <v>4050.45</v>
      </c>
      <c r="F731">
        <v>42</v>
      </c>
      <c r="G731" t="s">
        <v>19</v>
      </c>
      <c r="H731" s="2">
        <v>3600.95</v>
      </c>
      <c r="I731" s="2">
        <v>3702.8399999999901</v>
      </c>
      <c r="J731" t="s">
        <v>20</v>
      </c>
      <c r="K731">
        <v>0.01</v>
      </c>
      <c r="L731" t="s">
        <v>21</v>
      </c>
      <c r="M731" t="s">
        <v>32</v>
      </c>
      <c r="N731" t="s">
        <v>45</v>
      </c>
      <c r="O731" s="2">
        <f>_Salesdata[[#This Row],[Unit_Price]] * _Salesdata[[#This Row],[Quantity_Sold]]</f>
        <v>155519.27999999959</v>
      </c>
      <c r="P731" s="2">
        <f>_Salesdata[[#This Row],[Unit_Cost]] * _Salesdata[[#This Row],[Quantity_Sold]]</f>
        <v>151239.9</v>
      </c>
      <c r="Q731" s="2">
        <f>_Salesdata[[#This Row],[Gross_Sales]] - _Salesdata[[#This Row],[Total Cost]]</f>
        <v>4279.3799999995972</v>
      </c>
      <c r="R731" s="2"/>
    </row>
    <row r="732" spans="1:18" x14ac:dyDescent="0.25">
      <c r="A732">
        <v>1024</v>
      </c>
      <c r="B732" s="1">
        <v>45079</v>
      </c>
      <c r="C732" t="s">
        <v>24</v>
      </c>
      <c r="D732" t="s">
        <v>25</v>
      </c>
      <c r="E732" s="2">
        <v>1799.77</v>
      </c>
      <c r="F732">
        <v>2</v>
      </c>
      <c r="G732" t="s">
        <v>39</v>
      </c>
      <c r="H732" s="2">
        <v>3604.93</v>
      </c>
      <c r="I732" s="2">
        <v>3830.71</v>
      </c>
      <c r="J732" t="s">
        <v>20</v>
      </c>
      <c r="K732">
        <v>0.12</v>
      </c>
      <c r="L732" t="s">
        <v>28</v>
      </c>
      <c r="M732" t="s">
        <v>22</v>
      </c>
      <c r="N732" t="s">
        <v>29</v>
      </c>
      <c r="O732" s="2">
        <f>_Salesdata[[#This Row],[Unit_Price]] * _Salesdata[[#This Row],[Quantity_Sold]]</f>
        <v>7661.42</v>
      </c>
      <c r="P732" s="2">
        <f>_Salesdata[[#This Row],[Unit_Cost]] * _Salesdata[[#This Row],[Quantity_Sold]]</f>
        <v>7209.86</v>
      </c>
      <c r="Q732" s="2">
        <f>_Salesdata[[#This Row],[Gross_Sales]] - _Salesdata[[#This Row],[Total Cost]]</f>
        <v>451.5600000000004</v>
      </c>
      <c r="R732" s="2"/>
    </row>
    <row r="733" spans="1:18" x14ac:dyDescent="0.25">
      <c r="A733">
        <v>1012</v>
      </c>
      <c r="B733" s="1">
        <v>45244</v>
      </c>
      <c r="C733" t="s">
        <v>48</v>
      </c>
      <c r="D733" t="s">
        <v>37</v>
      </c>
      <c r="E733" s="2">
        <v>519.98</v>
      </c>
      <c r="F733">
        <v>6</v>
      </c>
      <c r="G733" t="s">
        <v>19</v>
      </c>
      <c r="H733" s="2">
        <v>3609.42</v>
      </c>
      <c r="I733" s="2">
        <v>4082.62</v>
      </c>
      <c r="J733" t="s">
        <v>20</v>
      </c>
      <c r="K733">
        <v>0.3</v>
      </c>
      <c r="L733" t="s">
        <v>44</v>
      </c>
      <c r="M733" t="s">
        <v>32</v>
      </c>
      <c r="N733" t="s">
        <v>52</v>
      </c>
      <c r="O733" s="2">
        <f>_Salesdata[[#This Row],[Unit_Price]] * _Salesdata[[#This Row],[Quantity_Sold]]</f>
        <v>24495.72</v>
      </c>
      <c r="P733" s="2">
        <f>_Salesdata[[#This Row],[Unit_Cost]] * _Salesdata[[#This Row],[Quantity_Sold]]</f>
        <v>21656.52</v>
      </c>
      <c r="Q733" s="2">
        <f>_Salesdata[[#This Row],[Gross_Sales]] - _Salesdata[[#This Row],[Total Cost]]</f>
        <v>2839.2000000000007</v>
      </c>
      <c r="R733" s="2"/>
    </row>
    <row r="734" spans="1:18" x14ac:dyDescent="0.25">
      <c r="A734">
        <v>1054</v>
      </c>
      <c r="B734" s="1">
        <v>45228</v>
      </c>
      <c r="C734" t="s">
        <v>30</v>
      </c>
      <c r="D734" t="s">
        <v>25</v>
      </c>
      <c r="E734" s="2">
        <v>4025.88</v>
      </c>
      <c r="F734">
        <v>8</v>
      </c>
      <c r="G734" t="s">
        <v>19</v>
      </c>
      <c r="H734" s="2">
        <v>3610.21</v>
      </c>
      <c r="I734" s="2">
        <v>3817.99</v>
      </c>
      <c r="J734" t="s">
        <v>20</v>
      </c>
      <c r="K734">
        <v>0.15</v>
      </c>
      <c r="L734" t="s">
        <v>21</v>
      </c>
      <c r="M734" t="s">
        <v>32</v>
      </c>
      <c r="N734" t="s">
        <v>45</v>
      </c>
      <c r="O734" s="2">
        <f>_Salesdata[[#This Row],[Unit_Price]] * _Salesdata[[#This Row],[Quantity_Sold]]</f>
        <v>30543.919999999998</v>
      </c>
      <c r="P734" s="2">
        <f>_Salesdata[[#This Row],[Unit_Cost]] * _Salesdata[[#This Row],[Quantity_Sold]]</f>
        <v>28881.68</v>
      </c>
      <c r="Q734" s="2">
        <f>_Salesdata[[#This Row],[Gross_Sales]] - _Salesdata[[#This Row],[Total Cost]]</f>
        <v>1662.239999999998</v>
      </c>
      <c r="R734" s="2"/>
    </row>
    <row r="735" spans="1:18" x14ac:dyDescent="0.25">
      <c r="A735">
        <v>1083</v>
      </c>
      <c r="B735" s="1">
        <v>44984</v>
      </c>
      <c r="C735" t="s">
        <v>24</v>
      </c>
      <c r="D735" t="s">
        <v>25</v>
      </c>
      <c r="E735" s="2">
        <v>1780.31</v>
      </c>
      <c r="F735">
        <v>20</v>
      </c>
      <c r="G735" t="s">
        <v>19</v>
      </c>
      <c r="H735" s="2">
        <v>3617.59</v>
      </c>
      <c r="I735" s="2">
        <v>4003.5</v>
      </c>
      <c r="J735" t="s">
        <v>27</v>
      </c>
      <c r="K735">
        <v>0.01</v>
      </c>
      <c r="L735" t="s">
        <v>28</v>
      </c>
      <c r="M735" t="s">
        <v>32</v>
      </c>
      <c r="N735" t="s">
        <v>29</v>
      </c>
      <c r="O735" s="2">
        <f>_Salesdata[[#This Row],[Unit_Price]] * _Salesdata[[#This Row],[Quantity_Sold]]</f>
        <v>80070</v>
      </c>
      <c r="P735" s="2">
        <f>_Salesdata[[#This Row],[Unit_Cost]] * _Salesdata[[#This Row],[Quantity_Sold]]</f>
        <v>72351.8</v>
      </c>
      <c r="Q735" s="2">
        <f>_Salesdata[[#This Row],[Gross_Sales]] - _Salesdata[[#This Row],[Total Cost]]</f>
        <v>7718.1999999999971</v>
      </c>
      <c r="R735" s="2"/>
    </row>
    <row r="736" spans="1:18" x14ac:dyDescent="0.25">
      <c r="A736">
        <v>1068</v>
      </c>
      <c r="B736" s="1">
        <v>44981</v>
      </c>
      <c r="C736" t="s">
        <v>17</v>
      </c>
      <c r="D736" t="s">
        <v>37</v>
      </c>
      <c r="E736" s="2">
        <v>5118.51</v>
      </c>
      <c r="F736">
        <v>22</v>
      </c>
      <c r="G736" t="s">
        <v>19</v>
      </c>
      <c r="H736" s="2">
        <v>3619.61</v>
      </c>
      <c r="I736" s="2">
        <v>3651.42</v>
      </c>
      <c r="J736" t="s">
        <v>20</v>
      </c>
      <c r="K736">
        <v>0.26</v>
      </c>
      <c r="L736" t="s">
        <v>44</v>
      </c>
      <c r="M736" t="s">
        <v>22</v>
      </c>
      <c r="N736" t="s">
        <v>47</v>
      </c>
      <c r="O736" s="2">
        <f>_Salesdata[[#This Row],[Unit_Price]] * _Salesdata[[#This Row],[Quantity_Sold]]</f>
        <v>80331.240000000005</v>
      </c>
      <c r="P736" s="2">
        <f>_Salesdata[[#This Row],[Unit_Cost]] * _Salesdata[[#This Row],[Quantity_Sold]]</f>
        <v>79631.42</v>
      </c>
      <c r="Q736" s="2">
        <f>_Salesdata[[#This Row],[Gross_Sales]] - _Salesdata[[#This Row],[Total Cost]]</f>
        <v>699.82000000000698</v>
      </c>
      <c r="R736" s="2"/>
    </row>
    <row r="737" spans="1:18" x14ac:dyDescent="0.25">
      <c r="A737">
        <v>1067</v>
      </c>
      <c r="B737" s="1">
        <v>45112</v>
      </c>
      <c r="C737" t="s">
        <v>24</v>
      </c>
      <c r="D737" t="s">
        <v>25</v>
      </c>
      <c r="E737" s="2">
        <v>6360.67</v>
      </c>
      <c r="F737">
        <v>27</v>
      </c>
      <c r="G737" t="s">
        <v>39</v>
      </c>
      <c r="H737" s="2">
        <v>3624.97</v>
      </c>
      <c r="I737" s="2">
        <v>3836.52</v>
      </c>
      <c r="J737" t="s">
        <v>27</v>
      </c>
      <c r="K737">
        <v>0.08</v>
      </c>
      <c r="L737" t="s">
        <v>21</v>
      </c>
      <c r="M737" t="s">
        <v>22</v>
      </c>
      <c r="N737" t="s">
        <v>29</v>
      </c>
      <c r="O737" s="2">
        <f>_Salesdata[[#This Row],[Unit_Price]] * _Salesdata[[#This Row],[Quantity_Sold]]</f>
        <v>103586.04</v>
      </c>
      <c r="P737" s="2">
        <f>_Salesdata[[#This Row],[Unit_Cost]] * _Salesdata[[#This Row],[Quantity_Sold]]</f>
        <v>97874.189999999988</v>
      </c>
      <c r="Q737" s="2">
        <f>_Salesdata[[#This Row],[Gross_Sales]] - _Salesdata[[#This Row],[Total Cost]]</f>
        <v>5711.8500000000058</v>
      </c>
      <c r="R737" s="2"/>
    </row>
    <row r="738" spans="1:18" x14ac:dyDescent="0.25">
      <c r="A738">
        <v>1087</v>
      </c>
      <c r="B738" s="1">
        <v>44929</v>
      </c>
      <c r="C738" t="s">
        <v>35</v>
      </c>
      <c r="D738" t="s">
        <v>18</v>
      </c>
      <c r="E738" s="2">
        <v>8057.76</v>
      </c>
      <c r="F738">
        <v>20</v>
      </c>
      <c r="G738" t="s">
        <v>39</v>
      </c>
      <c r="H738" s="2">
        <v>3625.94</v>
      </c>
      <c r="I738" s="2">
        <v>3880.53</v>
      </c>
      <c r="J738" t="s">
        <v>27</v>
      </c>
      <c r="K738">
        <v>0.24</v>
      </c>
      <c r="L738" t="s">
        <v>44</v>
      </c>
      <c r="M738" t="s">
        <v>22</v>
      </c>
      <c r="N738" t="s">
        <v>36</v>
      </c>
      <c r="O738" s="2">
        <f>_Salesdata[[#This Row],[Unit_Price]] * _Salesdata[[#This Row],[Quantity_Sold]]</f>
        <v>77610.600000000006</v>
      </c>
      <c r="P738" s="2">
        <f>_Salesdata[[#This Row],[Unit_Cost]] * _Salesdata[[#This Row],[Quantity_Sold]]</f>
        <v>72518.8</v>
      </c>
      <c r="Q738" s="2">
        <f>_Salesdata[[#This Row],[Gross_Sales]] - _Salesdata[[#This Row],[Total Cost]]</f>
        <v>5091.8000000000029</v>
      </c>
      <c r="R738" s="2"/>
    </row>
    <row r="739" spans="1:18" x14ac:dyDescent="0.25">
      <c r="A739">
        <v>1019</v>
      </c>
      <c r="B739" s="1">
        <v>45078</v>
      </c>
      <c r="C739" t="s">
        <v>17</v>
      </c>
      <c r="D739" t="s">
        <v>18</v>
      </c>
      <c r="E739" s="2">
        <v>3109.03</v>
      </c>
      <c r="F739">
        <v>38</v>
      </c>
      <c r="G739" t="s">
        <v>19</v>
      </c>
      <c r="H739" s="2">
        <v>3637.25</v>
      </c>
      <c r="I739" s="2">
        <v>4096.96</v>
      </c>
      <c r="J739" t="s">
        <v>20</v>
      </c>
      <c r="K739">
        <v>0.09</v>
      </c>
      <c r="L739" t="s">
        <v>44</v>
      </c>
      <c r="M739" t="s">
        <v>22</v>
      </c>
      <c r="N739" t="s">
        <v>23</v>
      </c>
      <c r="O739" s="2">
        <f>_Salesdata[[#This Row],[Unit_Price]] * _Salesdata[[#This Row],[Quantity_Sold]]</f>
        <v>155684.48000000001</v>
      </c>
      <c r="P739" s="2">
        <f>_Salesdata[[#This Row],[Unit_Cost]] * _Salesdata[[#This Row],[Quantity_Sold]]</f>
        <v>138215.5</v>
      </c>
      <c r="Q739" s="2">
        <f>_Salesdata[[#This Row],[Gross_Sales]] - _Salesdata[[#This Row],[Total Cost]]</f>
        <v>17468.98000000001</v>
      </c>
      <c r="R739" s="2"/>
    </row>
    <row r="740" spans="1:18" x14ac:dyDescent="0.25">
      <c r="A740">
        <v>1091</v>
      </c>
      <c r="B740" s="1">
        <v>45071</v>
      </c>
      <c r="C740" t="s">
        <v>24</v>
      </c>
      <c r="D740" t="s">
        <v>37</v>
      </c>
      <c r="E740" s="2">
        <v>9610.2099999999991</v>
      </c>
      <c r="F740">
        <v>24</v>
      </c>
      <c r="G740" t="s">
        <v>19</v>
      </c>
      <c r="H740" s="2">
        <v>3639.3</v>
      </c>
      <c r="I740" s="2">
        <v>3750.63</v>
      </c>
      <c r="J740" t="s">
        <v>27</v>
      </c>
      <c r="K740">
        <v>0.23</v>
      </c>
      <c r="L740" t="s">
        <v>44</v>
      </c>
      <c r="M740" t="s">
        <v>32</v>
      </c>
      <c r="N740" t="s">
        <v>53</v>
      </c>
      <c r="O740" s="2">
        <f>_Salesdata[[#This Row],[Unit_Price]] * _Salesdata[[#This Row],[Quantity_Sold]]</f>
        <v>90015.12</v>
      </c>
      <c r="P740" s="2">
        <f>_Salesdata[[#This Row],[Unit_Cost]] * _Salesdata[[#This Row],[Quantity_Sold]]</f>
        <v>87343.200000000012</v>
      </c>
      <c r="Q740" s="2">
        <f>_Salesdata[[#This Row],[Gross_Sales]] - _Salesdata[[#This Row],[Total Cost]]</f>
        <v>2671.9199999999837</v>
      </c>
      <c r="R740" s="2"/>
    </row>
    <row r="741" spans="1:18" x14ac:dyDescent="0.25">
      <c r="A741">
        <v>1072</v>
      </c>
      <c r="B741" s="1">
        <v>44964</v>
      </c>
      <c r="C741" t="s">
        <v>17</v>
      </c>
      <c r="D741" t="s">
        <v>18</v>
      </c>
      <c r="E741" s="2">
        <v>5490.38</v>
      </c>
      <c r="F741">
        <v>26</v>
      </c>
      <c r="G741" t="s">
        <v>31</v>
      </c>
      <c r="H741" s="2">
        <v>3640.17</v>
      </c>
      <c r="I741" s="2">
        <v>4002.63</v>
      </c>
      <c r="J741" t="s">
        <v>27</v>
      </c>
      <c r="K741">
        <v>0.05</v>
      </c>
      <c r="L741" t="s">
        <v>28</v>
      </c>
      <c r="M741" t="s">
        <v>32</v>
      </c>
      <c r="N741" t="s">
        <v>23</v>
      </c>
      <c r="O741" s="2">
        <f>_Salesdata[[#This Row],[Unit_Price]] * _Salesdata[[#This Row],[Quantity_Sold]]</f>
        <v>104068.38</v>
      </c>
      <c r="P741" s="2">
        <f>_Salesdata[[#This Row],[Unit_Cost]] * _Salesdata[[#This Row],[Quantity_Sold]]</f>
        <v>94644.42</v>
      </c>
      <c r="Q741" s="2">
        <f>_Salesdata[[#This Row],[Gross_Sales]] - _Salesdata[[#This Row],[Total Cost]]</f>
        <v>9423.9600000000064</v>
      </c>
      <c r="R741" s="2"/>
    </row>
    <row r="742" spans="1:18" x14ac:dyDescent="0.25">
      <c r="A742">
        <v>1060</v>
      </c>
      <c r="B742" s="1">
        <v>45221</v>
      </c>
      <c r="C742" t="s">
        <v>17</v>
      </c>
      <c r="D742" t="s">
        <v>37</v>
      </c>
      <c r="E742" s="2">
        <v>2661.25</v>
      </c>
      <c r="F742">
        <v>11</v>
      </c>
      <c r="G742" t="s">
        <v>39</v>
      </c>
      <c r="H742" s="2">
        <v>3648.04</v>
      </c>
      <c r="I742" s="2">
        <v>4143.51</v>
      </c>
      <c r="J742" t="s">
        <v>20</v>
      </c>
      <c r="K742">
        <v>0.17</v>
      </c>
      <c r="L742" t="s">
        <v>28</v>
      </c>
      <c r="M742" t="s">
        <v>32</v>
      </c>
      <c r="N742" t="s">
        <v>47</v>
      </c>
      <c r="O742" s="2">
        <f>_Salesdata[[#This Row],[Unit_Price]] * _Salesdata[[#This Row],[Quantity_Sold]]</f>
        <v>45578.61</v>
      </c>
      <c r="P742" s="2">
        <f>_Salesdata[[#This Row],[Unit_Cost]] * _Salesdata[[#This Row],[Quantity_Sold]]</f>
        <v>40128.44</v>
      </c>
      <c r="Q742" s="2">
        <f>_Salesdata[[#This Row],[Gross_Sales]] - _Salesdata[[#This Row],[Total Cost]]</f>
        <v>5450.1699999999983</v>
      </c>
      <c r="R742" s="2"/>
    </row>
    <row r="743" spans="1:18" x14ac:dyDescent="0.25">
      <c r="A743">
        <v>1077</v>
      </c>
      <c r="B743" s="1">
        <v>45200</v>
      </c>
      <c r="C743" t="s">
        <v>24</v>
      </c>
      <c r="D743" t="s">
        <v>25</v>
      </c>
      <c r="E743" s="2">
        <v>5405.76</v>
      </c>
      <c r="F743">
        <v>5</v>
      </c>
      <c r="G743" t="s">
        <v>26</v>
      </c>
      <c r="H743" s="2">
        <v>3650.89</v>
      </c>
      <c r="I743" s="2">
        <v>3930.06</v>
      </c>
      <c r="J743" t="s">
        <v>27</v>
      </c>
      <c r="K743">
        <v>0.17</v>
      </c>
      <c r="L743" t="s">
        <v>44</v>
      </c>
      <c r="M743" t="s">
        <v>22</v>
      </c>
      <c r="N743" t="s">
        <v>29</v>
      </c>
      <c r="O743" s="2">
        <f>_Salesdata[[#This Row],[Unit_Price]] * _Salesdata[[#This Row],[Quantity_Sold]]</f>
        <v>19650.3</v>
      </c>
      <c r="P743" s="2">
        <f>_Salesdata[[#This Row],[Unit_Cost]] * _Salesdata[[#This Row],[Quantity_Sold]]</f>
        <v>18254.45</v>
      </c>
      <c r="Q743" s="2">
        <f>_Salesdata[[#This Row],[Gross_Sales]] - _Salesdata[[#This Row],[Total Cost]]</f>
        <v>1395.8499999999985</v>
      </c>
      <c r="R743" s="2"/>
    </row>
    <row r="744" spans="1:18" x14ac:dyDescent="0.25">
      <c r="A744">
        <v>1070</v>
      </c>
      <c r="B744" s="1">
        <v>44989</v>
      </c>
      <c r="C744" t="s">
        <v>17</v>
      </c>
      <c r="D744" t="s">
        <v>40</v>
      </c>
      <c r="E744" s="2">
        <v>8771.24</v>
      </c>
      <c r="F744">
        <v>15</v>
      </c>
      <c r="G744" t="s">
        <v>26</v>
      </c>
      <c r="H744" s="2">
        <v>3653.66</v>
      </c>
      <c r="I744" s="2">
        <v>3896.19</v>
      </c>
      <c r="J744" t="s">
        <v>27</v>
      </c>
      <c r="K744">
        <v>0.03</v>
      </c>
      <c r="L744" t="s">
        <v>28</v>
      </c>
      <c r="M744" t="s">
        <v>32</v>
      </c>
      <c r="N744" t="s">
        <v>42</v>
      </c>
      <c r="O744" s="2">
        <f>_Salesdata[[#This Row],[Unit_Price]] * _Salesdata[[#This Row],[Quantity_Sold]]</f>
        <v>58442.85</v>
      </c>
      <c r="P744" s="2">
        <f>_Salesdata[[#This Row],[Unit_Cost]] * _Salesdata[[#This Row],[Quantity_Sold]]</f>
        <v>54804.899999999994</v>
      </c>
      <c r="Q744" s="2">
        <f>_Salesdata[[#This Row],[Gross_Sales]] - _Salesdata[[#This Row],[Total Cost]]</f>
        <v>3637.9500000000044</v>
      </c>
      <c r="R744" s="2"/>
    </row>
    <row r="745" spans="1:18" x14ac:dyDescent="0.25">
      <c r="A745">
        <v>1001</v>
      </c>
      <c r="B745" s="1">
        <v>45242</v>
      </c>
      <c r="C745" t="s">
        <v>24</v>
      </c>
      <c r="D745" t="s">
        <v>37</v>
      </c>
      <c r="E745" s="2">
        <v>715.81</v>
      </c>
      <c r="F745">
        <v>8</v>
      </c>
      <c r="G745" t="s">
        <v>26</v>
      </c>
      <c r="H745" s="2">
        <v>3657.91</v>
      </c>
      <c r="I745" s="2">
        <v>3729.27</v>
      </c>
      <c r="J745" t="s">
        <v>27</v>
      </c>
      <c r="K745">
        <v>0.09</v>
      </c>
      <c r="L745" t="s">
        <v>44</v>
      </c>
      <c r="M745" t="s">
        <v>32</v>
      </c>
      <c r="N745" t="s">
        <v>53</v>
      </c>
      <c r="O745" s="2">
        <f>_Salesdata[[#This Row],[Unit_Price]] * _Salesdata[[#This Row],[Quantity_Sold]]</f>
        <v>29834.16</v>
      </c>
      <c r="P745" s="2">
        <f>_Salesdata[[#This Row],[Unit_Cost]] * _Salesdata[[#This Row],[Quantity_Sold]]</f>
        <v>29263.279999999999</v>
      </c>
      <c r="Q745" s="2">
        <f>_Salesdata[[#This Row],[Gross_Sales]] - _Salesdata[[#This Row],[Total Cost]]</f>
        <v>570.88000000000102</v>
      </c>
      <c r="R745" s="2"/>
    </row>
    <row r="746" spans="1:18" x14ac:dyDescent="0.25">
      <c r="A746">
        <v>1069</v>
      </c>
      <c r="B746" s="1">
        <v>45214</v>
      </c>
      <c r="C746" t="s">
        <v>17</v>
      </c>
      <c r="D746" t="s">
        <v>25</v>
      </c>
      <c r="E746" s="2">
        <v>1688.58</v>
      </c>
      <c r="F746">
        <v>46</v>
      </c>
      <c r="G746" t="s">
        <v>31</v>
      </c>
      <c r="H746" s="2">
        <v>3663.51</v>
      </c>
      <c r="I746" s="2">
        <v>4007.98</v>
      </c>
      <c r="J746" t="s">
        <v>27</v>
      </c>
      <c r="K746">
        <v>0.13</v>
      </c>
      <c r="L746" t="s">
        <v>21</v>
      </c>
      <c r="M746" t="s">
        <v>22</v>
      </c>
      <c r="N746" t="s">
        <v>34</v>
      </c>
      <c r="O746" s="2">
        <f>_Salesdata[[#This Row],[Unit_Price]] * _Salesdata[[#This Row],[Quantity_Sold]]</f>
        <v>184367.08</v>
      </c>
      <c r="P746" s="2">
        <f>_Salesdata[[#This Row],[Unit_Cost]] * _Salesdata[[#This Row],[Quantity_Sold]]</f>
        <v>168521.46000000002</v>
      </c>
      <c r="Q746" s="2">
        <f>_Salesdata[[#This Row],[Gross_Sales]] - _Salesdata[[#This Row],[Total Cost]]</f>
        <v>15845.619999999966</v>
      </c>
      <c r="R746" s="2"/>
    </row>
    <row r="747" spans="1:18" x14ac:dyDescent="0.25">
      <c r="A747">
        <v>1092</v>
      </c>
      <c r="B747" s="1">
        <v>44967</v>
      </c>
      <c r="C747" t="s">
        <v>17</v>
      </c>
      <c r="D747" t="s">
        <v>18</v>
      </c>
      <c r="E747" s="2">
        <v>5426.42</v>
      </c>
      <c r="F747">
        <v>47</v>
      </c>
      <c r="G747" t="s">
        <v>39</v>
      </c>
      <c r="H747" s="2">
        <v>3681.53</v>
      </c>
      <c r="I747" s="2">
        <v>4076.96</v>
      </c>
      <c r="J747" t="s">
        <v>20</v>
      </c>
      <c r="K747">
        <v>0.17</v>
      </c>
      <c r="L747" t="s">
        <v>21</v>
      </c>
      <c r="M747" t="s">
        <v>32</v>
      </c>
      <c r="N747" t="s">
        <v>23</v>
      </c>
      <c r="O747" s="2">
        <f>_Salesdata[[#This Row],[Unit_Price]] * _Salesdata[[#This Row],[Quantity_Sold]]</f>
        <v>191617.12</v>
      </c>
      <c r="P747" s="2">
        <f>_Salesdata[[#This Row],[Unit_Cost]] * _Salesdata[[#This Row],[Quantity_Sold]]</f>
        <v>173031.91</v>
      </c>
      <c r="Q747" s="2">
        <f>_Salesdata[[#This Row],[Gross_Sales]] - _Salesdata[[#This Row],[Total Cost]]</f>
        <v>18585.209999999992</v>
      </c>
      <c r="R747" s="2"/>
    </row>
    <row r="748" spans="1:18" x14ac:dyDescent="0.25">
      <c r="A748">
        <v>1100</v>
      </c>
      <c r="B748" s="1">
        <v>45280</v>
      </c>
      <c r="C748" t="s">
        <v>30</v>
      </c>
      <c r="D748" t="s">
        <v>25</v>
      </c>
      <c r="E748" s="2">
        <v>1629.47</v>
      </c>
      <c r="F748">
        <v>39</v>
      </c>
      <c r="G748" t="s">
        <v>26</v>
      </c>
      <c r="H748" s="2">
        <v>3685.03</v>
      </c>
      <c r="I748" s="2">
        <v>3743.39</v>
      </c>
      <c r="J748" t="s">
        <v>27</v>
      </c>
      <c r="K748">
        <v>0.01</v>
      </c>
      <c r="L748" t="s">
        <v>44</v>
      </c>
      <c r="M748" t="s">
        <v>22</v>
      </c>
      <c r="N748" t="s">
        <v>45</v>
      </c>
      <c r="O748" s="2">
        <f>_Salesdata[[#This Row],[Unit_Price]] * _Salesdata[[#This Row],[Quantity_Sold]]</f>
        <v>145992.21</v>
      </c>
      <c r="P748" s="2">
        <f>_Salesdata[[#This Row],[Unit_Cost]] * _Salesdata[[#This Row],[Quantity_Sold]]</f>
        <v>143716.17000000001</v>
      </c>
      <c r="Q748" s="2">
        <f>_Salesdata[[#This Row],[Gross_Sales]] - _Salesdata[[#This Row],[Total Cost]]</f>
        <v>2276.039999999979</v>
      </c>
      <c r="R748" s="2"/>
    </row>
    <row r="749" spans="1:18" x14ac:dyDescent="0.25">
      <c r="A749">
        <v>1051</v>
      </c>
      <c r="B749" s="1">
        <v>44930</v>
      </c>
      <c r="C749" t="s">
        <v>48</v>
      </c>
      <c r="D749" t="s">
        <v>37</v>
      </c>
      <c r="E749" s="2">
        <v>4979.3599999999997</v>
      </c>
      <c r="F749">
        <v>14</v>
      </c>
      <c r="G749" t="s">
        <v>26</v>
      </c>
      <c r="H749" s="2">
        <v>3686.81</v>
      </c>
      <c r="I749" s="2">
        <v>3710.92</v>
      </c>
      <c r="J749" t="s">
        <v>27</v>
      </c>
      <c r="K749">
        <v>0.1</v>
      </c>
      <c r="L749" t="s">
        <v>44</v>
      </c>
      <c r="M749" t="s">
        <v>32</v>
      </c>
      <c r="N749" t="s">
        <v>52</v>
      </c>
      <c r="O749" s="2">
        <f>_Salesdata[[#This Row],[Unit_Price]] * _Salesdata[[#This Row],[Quantity_Sold]]</f>
        <v>51952.880000000005</v>
      </c>
      <c r="P749" s="2">
        <f>_Salesdata[[#This Row],[Unit_Cost]] * _Salesdata[[#This Row],[Quantity_Sold]]</f>
        <v>51615.34</v>
      </c>
      <c r="Q749" s="2">
        <f>_Salesdata[[#This Row],[Gross_Sales]] - _Salesdata[[#This Row],[Total Cost]]</f>
        <v>337.54000000000815</v>
      </c>
      <c r="R749" s="2"/>
    </row>
    <row r="750" spans="1:18" x14ac:dyDescent="0.25">
      <c r="A750">
        <v>1092</v>
      </c>
      <c r="B750" s="1">
        <v>44953</v>
      </c>
      <c r="C750" t="s">
        <v>30</v>
      </c>
      <c r="D750" t="s">
        <v>25</v>
      </c>
      <c r="E750" s="2">
        <v>6939.75</v>
      </c>
      <c r="F750">
        <v>26</v>
      </c>
      <c r="G750" t="s">
        <v>39</v>
      </c>
      <c r="H750" s="2">
        <v>3697.29</v>
      </c>
      <c r="I750" s="2">
        <v>4003.96</v>
      </c>
      <c r="J750" t="s">
        <v>27</v>
      </c>
      <c r="K750">
        <v>0.24</v>
      </c>
      <c r="L750" t="s">
        <v>21</v>
      </c>
      <c r="M750" t="s">
        <v>22</v>
      </c>
      <c r="N750" t="s">
        <v>45</v>
      </c>
      <c r="O750" s="2">
        <f>_Salesdata[[#This Row],[Unit_Price]] * _Salesdata[[#This Row],[Quantity_Sold]]</f>
        <v>104102.96</v>
      </c>
      <c r="P750" s="2">
        <f>_Salesdata[[#This Row],[Unit_Cost]] * _Salesdata[[#This Row],[Quantity_Sold]]</f>
        <v>96129.54</v>
      </c>
      <c r="Q750" s="2">
        <f>_Salesdata[[#This Row],[Gross_Sales]] - _Salesdata[[#This Row],[Total Cost]]</f>
        <v>7973.4200000000128</v>
      </c>
      <c r="R750" s="2"/>
    </row>
    <row r="751" spans="1:18" x14ac:dyDescent="0.25">
      <c r="A751">
        <v>1087</v>
      </c>
      <c r="B751" s="1">
        <v>44932</v>
      </c>
      <c r="C751" t="s">
        <v>48</v>
      </c>
      <c r="D751" t="s">
        <v>40</v>
      </c>
      <c r="E751" s="2">
        <v>7698.92</v>
      </c>
      <c r="F751">
        <v>46</v>
      </c>
      <c r="G751" t="s">
        <v>39</v>
      </c>
      <c r="H751" s="2">
        <v>3702.51</v>
      </c>
      <c r="I751" s="2">
        <v>3964.65</v>
      </c>
      <c r="J751" t="s">
        <v>27</v>
      </c>
      <c r="K751">
        <v>0.12</v>
      </c>
      <c r="L751" t="s">
        <v>44</v>
      </c>
      <c r="M751" t="s">
        <v>22</v>
      </c>
      <c r="N751" t="s">
        <v>50</v>
      </c>
      <c r="O751" s="2">
        <f>_Salesdata[[#This Row],[Unit_Price]] * _Salesdata[[#This Row],[Quantity_Sold]]</f>
        <v>182373.9</v>
      </c>
      <c r="P751" s="2">
        <f>_Salesdata[[#This Row],[Unit_Cost]] * _Salesdata[[#This Row],[Quantity_Sold]]</f>
        <v>170315.46000000002</v>
      </c>
      <c r="Q751" s="2">
        <f>_Salesdata[[#This Row],[Gross_Sales]] - _Salesdata[[#This Row],[Total Cost]]</f>
        <v>12058.439999999973</v>
      </c>
      <c r="R751" s="2"/>
    </row>
    <row r="752" spans="1:18" x14ac:dyDescent="0.25">
      <c r="A752">
        <v>1044</v>
      </c>
      <c r="B752" s="1">
        <v>45258</v>
      </c>
      <c r="C752" t="s">
        <v>35</v>
      </c>
      <c r="D752" t="s">
        <v>25</v>
      </c>
      <c r="E752" s="2">
        <v>4860.8100000000004</v>
      </c>
      <c r="F752">
        <v>6</v>
      </c>
      <c r="G752" t="s">
        <v>26</v>
      </c>
      <c r="H752" s="2">
        <v>3703.93</v>
      </c>
      <c r="I752" s="2">
        <v>3840.24</v>
      </c>
      <c r="J752" t="s">
        <v>27</v>
      </c>
      <c r="K752">
        <v>7.0000000000000007E-2</v>
      </c>
      <c r="L752" t="s">
        <v>28</v>
      </c>
      <c r="M752" t="s">
        <v>22</v>
      </c>
      <c r="N752" t="s">
        <v>56</v>
      </c>
      <c r="O752" s="2">
        <f>_Salesdata[[#This Row],[Unit_Price]] * _Salesdata[[#This Row],[Quantity_Sold]]</f>
        <v>23041.439999999999</v>
      </c>
      <c r="P752" s="2">
        <f>_Salesdata[[#This Row],[Unit_Cost]] * _Salesdata[[#This Row],[Quantity_Sold]]</f>
        <v>22223.579999999998</v>
      </c>
      <c r="Q752" s="2">
        <f>_Salesdata[[#This Row],[Gross_Sales]] - _Salesdata[[#This Row],[Total Cost]]</f>
        <v>817.86000000000058</v>
      </c>
      <c r="R752" s="2"/>
    </row>
    <row r="753" spans="1:18" x14ac:dyDescent="0.25">
      <c r="A753">
        <v>1003</v>
      </c>
      <c r="B753" s="1">
        <v>45254</v>
      </c>
      <c r="C753" t="s">
        <v>48</v>
      </c>
      <c r="D753" t="s">
        <v>18</v>
      </c>
      <c r="E753" s="2">
        <v>5215.3100000000004</v>
      </c>
      <c r="F753">
        <v>11</v>
      </c>
      <c r="G753" t="s">
        <v>31</v>
      </c>
      <c r="H753" s="2">
        <v>3706.78</v>
      </c>
      <c r="I753" s="2">
        <v>3862.26</v>
      </c>
      <c r="J753" t="s">
        <v>27</v>
      </c>
      <c r="K753">
        <v>0.22</v>
      </c>
      <c r="L753" t="s">
        <v>28</v>
      </c>
      <c r="M753" t="s">
        <v>32</v>
      </c>
      <c r="N753" t="s">
        <v>54</v>
      </c>
      <c r="O753" s="2">
        <f>_Salesdata[[#This Row],[Unit_Price]] * _Salesdata[[#This Row],[Quantity_Sold]]</f>
        <v>42484.86</v>
      </c>
      <c r="P753" s="2">
        <f>_Salesdata[[#This Row],[Unit_Cost]] * _Salesdata[[#This Row],[Quantity_Sold]]</f>
        <v>40774.58</v>
      </c>
      <c r="Q753" s="2">
        <f>_Salesdata[[#This Row],[Gross_Sales]] - _Salesdata[[#This Row],[Total Cost]]</f>
        <v>1710.2799999999988</v>
      </c>
      <c r="R753" s="2"/>
    </row>
    <row r="754" spans="1:18" x14ac:dyDescent="0.25">
      <c r="A754">
        <v>1032</v>
      </c>
      <c r="B754" s="1">
        <v>45030</v>
      </c>
      <c r="C754" t="s">
        <v>30</v>
      </c>
      <c r="D754" t="s">
        <v>37</v>
      </c>
      <c r="E754" s="2">
        <v>2286.44</v>
      </c>
      <c r="F754">
        <v>45</v>
      </c>
      <c r="G754" t="s">
        <v>19</v>
      </c>
      <c r="H754" s="2">
        <v>3712.35</v>
      </c>
      <c r="I754" s="2">
        <v>3780.88</v>
      </c>
      <c r="J754" t="s">
        <v>27</v>
      </c>
      <c r="K754">
        <v>7.0000000000000007E-2</v>
      </c>
      <c r="L754" t="s">
        <v>21</v>
      </c>
      <c r="M754" t="s">
        <v>32</v>
      </c>
      <c r="N754" t="s">
        <v>51</v>
      </c>
      <c r="O754" s="2">
        <f>_Salesdata[[#This Row],[Unit_Price]] * _Salesdata[[#This Row],[Quantity_Sold]]</f>
        <v>170139.6</v>
      </c>
      <c r="P754" s="2">
        <f>_Salesdata[[#This Row],[Unit_Cost]] * _Salesdata[[#This Row],[Quantity_Sold]]</f>
        <v>167055.75</v>
      </c>
      <c r="Q754" s="2">
        <f>_Salesdata[[#This Row],[Gross_Sales]] - _Salesdata[[#This Row],[Total Cost]]</f>
        <v>3083.8500000000058</v>
      </c>
      <c r="R754" s="2"/>
    </row>
    <row r="755" spans="1:18" x14ac:dyDescent="0.25">
      <c r="A755">
        <v>1048</v>
      </c>
      <c r="B755" s="1">
        <v>45219</v>
      </c>
      <c r="C755" t="s">
        <v>24</v>
      </c>
      <c r="D755" t="s">
        <v>40</v>
      </c>
      <c r="E755" s="2">
        <v>9688.52</v>
      </c>
      <c r="F755">
        <v>6</v>
      </c>
      <c r="G755" t="s">
        <v>26</v>
      </c>
      <c r="H755" s="2">
        <v>3717.3</v>
      </c>
      <c r="I755" s="2">
        <v>4061.37</v>
      </c>
      <c r="J755" t="s">
        <v>27</v>
      </c>
      <c r="K755">
        <v>0.03</v>
      </c>
      <c r="L755" t="s">
        <v>44</v>
      </c>
      <c r="M755" t="s">
        <v>32</v>
      </c>
      <c r="N755" t="s">
        <v>55</v>
      </c>
      <c r="O755" s="2">
        <f>_Salesdata[[#This Row],[Unit_Price]] * _Salesdata[[#This Row],[Quantity_Sold]]</f>
        <v>24368.22</v>
      </c>
      <c r="P755" s="2">
        <f>_Salesdata[[#This Row],[Unit_Cost]] * _Salesdata[[#This Row],[Quantity_Sold]]</f>
        <v>22303.800000000003</v>
      </c>
      <c r="Q755" s="2">
        <f>_Salesdata[[#This Row],[Gross_Sales]] - _Salesdata[[#This Row],[Total Cost]]</f>
        <v>2064.4199999999983</v>
      </c>
      <c r="R755" s="2"/>
    </row>
    <row r="756" spans="1:18" x14ac:dyDescent="0.25">
      <c r="A756">
        <v>1087</v>
      </c>
      <c r="B756" s="1">
        <v>44938</v>
      </c>
      <c r="C756" t="s">
        <v>35</v>
      </c>
      <c r="D756" t="s">
        <v>37</v>
      </c>
      <c r="E756" s="2">
        <v>6701.79</v>
      </c>
      <c r="F756">
        <v>21</v>
      </c>
      <c r="G756" t="s">
        <v>31</v>
      </c>
      <c r="H756" s="2">
        <v>3724.38</v>
      </c>
      <c r="I756" s="2">
        <v>3988.7</v>
      </c>
      <c r="J756" t="s">
        <v>27</v>
      </c>
      <c r="K756">
        <v>0.03</v>
      </c>
      <c r="L756" t="s">
        <v>44</v>
      </c>
      <c r="M756" t="s">
        <v>32</v>
      </c>
      <c r="N756" t="s">
        <v>38</v>
      </c>
      <c r="O756" s="2">
        <f>_Salesdata[[#This Row],[Unit_Price]] * _Salesdata[[#This Row],[Quantity_Sold]]</f>
        <v>83762.7</v>
      </c>
      <c r="P756" s="2">
        <f>_Salesdata[[#This Row],[Unit_Cost]] * _Salesdata[[#This Row],[Quantity_Sold]]</f>
        <v>78211.98</v>
      </c>
      <c r="Q756" s="2">
        <f>_Salesdata[[#This Row],[Gross_Sales]] - _Salesdata[[#This Row],[Total Cost]]</f>
        <v>5550.7200000000012</v>
      </c>
      <c r="R756" s="2"/>
    </row>
    <row r="757" spans="1:18" x14ac:dyDescent="0.25">
      <c r="A757">
        <v>1020</v>
      </c>
      <c r="B757" s="1">
        <v>45175</v>
      </c>
      <c r="C757" t="s">
        <v>35</v>
      </c>
      <c r="D757" t="s">
        <v>18</v>
      </c>
      <c r="E757" s="2">
        <v>9705.5499999999993</v>
      </c>
      <c r="F757">
        <v>4</v>
      </c>
      <c r="G757" t="s">
        <v>19</v>
      </c>
      <c r="H757" s="2">
        <v>3730</v>
      </c>
      <c r="I757" s="2">
        <v>3893.6</v>
      </c>
      <c r="J757" t="s">
        <v>27</v>
      </c>
      <c r="K757">
        <v>0.25</v>
      </c>
      <c r="L757" t="s">
        <v>44</v>
      </c>
      <c r="M757" t="s">
        <v>32</v>
      </c>
      <c r="N757" t="s">
        <v>36</v>
      </c>
      <c r="O757" s="2">
        <f>_Salesdata[[#This Row],[Unit_Price]] * _Salesdata[[#This Row],[Quantity_Sold]]</f>
        <v>15574.4</v>
      </c>
      <c r="P757" s="2">
        <f>_Salesdata[[#This Row],[Unit_Cost]] * _Salesdata[[#This Row],[Quantity_Sold]]</f>
        <v>14920</v>
      </c>
      <c r="Q757" s="2">
        <f>_Salesdata[[#This Row],[Gross_Sales]] - _Salesdata[[#This Row],[Total Cost]]</f>
        <v>654.39999999999964</v>
      </c>
      <c r="R757" s="2"/>
    </row>
    <row r="758" spans="1:18" x14ac:dyDescent="0.25">
      <c r="A758">
        <v>1090</v>
      </c>
      <c r="B758" s="1">
        <v>45105</v>
      </c>
      <c r="C758" t="s">
        <v>35</v>
      </c>
      <c r="D758" t="s">
        <v>37</v>
      </c>
      <c r="E758" s="2">
        <v>5976.25</v>
      </c>
      <c r="F758">
        <v>41</v>
      </c>
      <c r="G758" t="s">
        <v>19</v>
      </c>
      <c r="H758" s="2">
        <v>3736.88</v>
      </c>
      <c r="I758" s="2">
        <v>3946.77</v>
      </c>
      <c r="J758" t="s">
        <v>20</v>
      </c>
      <c r="K758">
        <v>0.06</v>
      </c>
      <c r="L758" t="s">
        <v>28</v>
      </c>
      <c r="M758" t="s">
        <v>22</v>
      </c>
      <c r="N758" t="s">
        <v>38</v>
      </c>
      <c r="O758" s="2">
        <f>_Salesdata[[#This Row],[Unit_Price]] * _Salesdata[[#This Row],[Quantity_Sold]]</f>
        <v>161817.57</v>
      </c>
      <c r="P758" s="2">
        <f>_Salesdata[[#This Row],[Unit_Cost]] * _Salesdata[[#This Row],[Quantity_Sold]]</f>
        <v>153212.08000000002</v>
      </c>
      <c r="Q758" s="2">
        <f>_Salesdata[[#This Row],[Gross_Sales]] - _Salesdata[[#This Row],[Total Cost]]</f>
        <v>8605.4899999999907</v>
      </c>
      <c r="R758" s="2"/>
    </row>
    <row r="759" spans="1:18" x14ac:dyDescent="0.25">
      <c r="A759">
        <v>1053</v>
      </c>
      <c r="B759" s="1">
        <v>45201</v>
      </c>
      <c r="C759" t="s">
        <v>30</v>
      </c>
      <c r="D759" t="s">
        <v>18</v>
      </c>
      <c r="E759" s="2">
        <v>7724.57</v>
      </c>
      <c r="F759">
        <v>29</v>
      </c>
      <c r="G759" t="s">
        <v>26</v>
      </c>
      <c r="H759" s="2">
        <v>3741.3</v>
      </c>
      <c r="I759" s="2">
        <v>4061.04</v>
      </c>
      <c r="J759" t="s">
        <v>20</v>
      </c>
      <c r="K759">
        <v>0.21</v>
      </c>
      <c r="L759" t="s">
        <v>28</v>
      </c>
      <c r="M759" t="s">
        <v>22</v>
      </c>
      <c r="N759" t="s">
        <v>33</v>
      </c>
      <c r="O759" s="2">
        <f>_Salesdata[[#This Row],[Unit_Price]] * _Salesdata[[#This Row],[Quantity_Sold]]</f>
        <v>117770.16</v>
      </c>
      <c r="P759" s="2">
        <f>_Salesdata[[#This Row],[Unit_Cost]] * _Salesdata[[#This Row],[Quantity_Sold]]</f>
        <v>108497.70000000001</v>
      </c>
      <c r="Q759" s="2">
        <f>_Salesdata[[#This Row],[Gross_Sales]] - _Salesdata[[#This Row],[Total Cost]]</f>
        <v>9272.4599999999919</v>
      </c>
      <c r="R759" s="2"/>
    </row>
    <row r="760" spans="1:18" x14ac:dyDescent="0.25">
      <c r="A760">
        <v>1086</v>
      </c>
      <c r="B760" s="1">
        <v>45022</v>
      </c>
      <c r="C760" t="s">
        <v>35</v>
      </c>
      <c r="D760" t="s">
        <v>25</v>
      </c>
      <c r="E760" s="2">
        <v>7212.69</v>
      </c>
      <c r="F760">
        <v>32</v>
      </c>
      <c r="G760" t="s">
        <v>26</v>
      </c>
      <c r="H760" s="2">
        <v>3743.59</v>
      </c>
      <c r="I760" s="2">
        <v>4116.38</v>
      </c>
      <c r="J760" t="s">
        <v>20</v>
      </c>
      <c r="K760">
        <v>0.11</v>
      </c>
      <c r="L760" t="s">
        <v>21</v>
      </c>
      <c r="M760" t="s">
        <v>22</v>
      </c>
      <c r="N760" t="s">
        <v>56</v>
      </c>
      <c r="O760" s="2">
        <f>_Salesdata[[#This Row],[Unit_Price]] * _Salesdata[[#This Row],[Quantity_Sold]]</f>
        <v>131724.16</v>
      </c>
      <c r="P760" s="2">
        <f>_Salesdata[[#This Row],[Unit_Cost]] * _Salesdata[[#This Row],[Quantity_Sold]]</f>
        <v>119794.88</v>
      </c>
      <c r="Q760" s="2">
        <f>_Salesdata[[#This Row],[Gross_Sales]] - _Salesdata[[#This Row],[Total Cost]]</f>
        <v>11929.279999999999</v>
      </c>
      <c r="R760" s="2"/>
    </row>
    <row r="761" spans="1:18" x14ac:dyDescent="0.25">
      <c r="A761">
        <v>1009</v>
      </c>
      <c r="B761" s="1">
        <v>44955</v>
      </c>
      <c r="C761" t="s">
        <v>48</v>
      </c>
      <c r="D761" t="s">
        <v>25</v>
      </c>
      <c r="E761" s="2">
        <v>182.8</v>
      </c>
      <c r="F761">
        <v>16</v>
      </c>
      <c r="G761" t="s">
        <v>19</v>
      </c>
      <c r="H761" s="2">
        <v>3745.69</v>
      </c>
      <c r="I761" s="2">
        <v>3883.77</v>
      </c>
      <c r="J761" t="s">
        <v>20</v>
      </c>
      <c r="K761">
        <v>0.18</v>
      </c>
      <c r="L761" t="s">
        <v>44</v>
      </c>
      <c r="M761" t="s">
        <v>32</v>
      </c>
      <c r="N761" t="s">
        <v>49</v>
      </c>
      <c r="O761" s="2">
        <f>_Salesdata[[#This Row],[Unit_Price]] * _Salesdata[[#This Row],[Quantity_Sold]]</f>
        <v>62140.32</v>
      </c>
      <c r="P761" s="2">
        <f>_Salesdata[[#This Row],[Unit_Cost]] * _Salesdata[[#This Row],[Quantity_Sold]]</f>
        <v>59931.040000000001</v>
      </c>
      <c r="Q761" s="2">
        <f>_Salesdata[[#This Row],[Gross_Sales]] - _Salesdata[[#This Row],[Total Cost]]</f>
        <v>2209.2799999999988</v>
      </c>
      <c r="R761" s="2"/>
    </row>
    <row r="762" spans="1:18" x14ac:dyDescent="0.25">
      <c r="A762">
        <v>1013</v>
      </c>
      <c r="B762" s="1">
        <v>45152</v>
      </c>
      <c r="C762" t="s">
        <v>24</v>
      </c>
      <c r="D762" t="s">
        <v>18</v>
      </c>
      <c r="E762" s="2">
        <v>4250.79</v>
      </c>
      <c r="F762">
        <v>26</v>
      </c>
      <c r="G762" t="s">
        <v>19</v>
      </c>
      <c r="H762" s="2">
        <v>3749.12</v>
      </c>
      <c r="I762" s="2">
        <v>4138.83</v>
      </c>
      <c r="J762" t="s">
        <v>27</v>
      </c>
      <c r="K762">
        <v>0.13</v>
      </c>
      <c r="L762" t="s">
        <v>28</v>
      </c>
      <c r="M762" t="s">
        <v>22</v>
      </c>
      <c r="N762" t="s">
        <v>46</v>
      </c>
      <c r="O762" s="2">
        <f>_Salesdata[[#This Row],[Unit_Price]] * _Salesdata[[#This Row],[Quantity_Sold]]</f>
        <v>107609.58</v>
      </c>
      <c r="P762" s="2">
        <f>_Salesdata[[#This Row],[Unit_Cost]] * _Salesdata[[#This Row],[Quantity_Sold]]</f>
        <v>97477.119999999995</v>
      </c>
      <c r="Q762" s="2">
        <f>_Salesdata[[#This Row],[Gross_Sales]] - _Salesdata[[#This Row],[Total Cost]]</f>
        <v>10132.460000000006</v>
      </c>
      <c r="R762" s="2"/>
    </row>
    <row r="763" spans="1:18" x14ac:dyDescent="0.25">
      <c r="A763">
        <v>1052</v>
      </c>
      <c r="B763" s="1">
        <v>45282</v>
      </c>
      <c r="C763" t="s">
        <v>35</v>
      </c>
      <c r="D763" t="s">
        <v>25</v>
      </c>
      <c r="E763" s="2">
        <v>9509.5499999999993</v>
      </c>
      <c r="F763">
        <v>2</v>
      </c>
      <c r="G763" t="s">
        <v>39</v>
      </c>
      <c r="H763" s="2">
        <v>3752.68</v>
      </c>
      <c r="I763" s="2">
        <v>4017.91</v>
      </c>
      <c r="J763" t="s">
        <v>20</v>
      </c>
      <c r="K763">
        <v>0.16</v>
      </c>
      <c r="L763" t="s">
        <v>44</v>
      </c>
      <c r="M763" t="s">
        <v>22</v>
      </c>
      <c r="N763" t="s">
        <v>56</v>
      </c>
      <c r="O763" s="2">
        <f>_Salesdata[[#This Row],[Unit_Price]] * _Salesdata[[#This Row],[Quantity_Sold]]</f>
        <v>8035.82</v>
      </c>
      <c r="P763" s="2">
        <f>_Salesdata[[#This Row],[Unit_Cost]] * _Salesdata[[#This Row],[Quantity_Sold]]</f>
        <v>7505.36</v>
      </c>
      <c r="Q763" s="2">
        <f>_Salesdata[[#This Row],[Gross_Sales]] - _Salesdata[[#This Row],[Total Cost]]</f>
        <v>530.46</v>
      </c>
      <c r="R763" s="2"/>
    </row>
    <row r="764" spans="1:18" x14ac:dyDescent="0.25">
      <c r="A764">
        <v>1050</v>
      </c>
      <c r="B764" s="1">
        <v>45078</v>
      </c>
      <c r="C764" t="s">
        <v>17</v>
      </c>
      <c r="D764" t="s">
        <v>40</v>
      </c>
      <c r="E764" s="2">
        <v>5105.78</v>
      </c>
      <c r="F764">
        <v>23</v>
      </c>
      <c r="G764" t="s">
        <v>39</v>
      </c>
      <c r="H764" s="2">
        <v>3756.06</v>
      </c>
      <c r="I764" s="2">
        <v>4255.7299999999996</v>
      </c>
      <c r="J764" t="s">
        <v>20</v>
      </c>
      <c r="K764">
        <v>0.04</v>
      </c>
      <c r="L764" t="s">
        <v>21</v>
      </c>
      <c r="M764" t="s">
        <v>22</v>
      </c>
      <c r="N764" t="s">
        <v>42</v>
      </c>
      <c r="O764" s="2">
        <f>_Salesdata[[#This Row],[Unit_Price]] * _Salesdata[[#This Row],[Quantity_Sold]]</f>
        <v>97881.79</v>
      </c>
      <c r="P764" s="2">
        <f>_Salesdata[[#This Row],[Unit_Cost]] * _Salesdata[[#This Row],[Quantity_Sold]]</f>
        <v>86389.38</v>
      </c>
      <c r="Q764" s="2">
        <f>_Salesdata[[#This Row],[Gross_Sales]] - _Salesdata[[#This Row],[Total Cost]]</f>
        <v>11492.409999999989</v>
      </c>
      <c r="R764" s="2"/>
    </row>
    <row r="765" spans="1:18" x14ac:dyDescent="0.25">
      <c r="A765">
        <v>1063</v>
      </c>
      <c r="B765" s="1">
        <v>45152</v>
      </c>
      <c r="C765" t="s">
        <v>17</v>
      </c>
      <c r="D765" t="s">
        <v>37</v>
      </c>
      <c r="E765" s="2">
        <v>9956.75</v>
      </c>
      <c r="F765">
        <v>27</v>
      </c>
      <c r="G765" t="s">
        <v>19</v>
      </c>
      <c r="H765" s="2">
        <v>3760.25</v>
      </c>
      <c r="I765" s="2">
        <v>4147.1099999999997</v>
      </c>
      <c r="J765" t="s">
        <v>27</v>
      </c>
      <c r="K765">
        <v>0.22</v>
      </c>
      <c r="L765" t="s">
        <v>21</v>
      </c>
      <c r="M765" t="s">
        <v>22</v>
      </c>
      <c r="N765" t="s">
        <v>47</v>
      </c>
      <c r="O765" s="2">
        <f>_Salesdata[[#This Row],[Unit_Price]] * _Salesdata[[#This Row],[Quantity_Sold]]</f>
        <v>111971.96999999999</v>
      </c>
      <c r="P765" s="2">
        <f>_Salesdata[[#This Row],[Unit_Cost]] * _Salesdata[[#This Row],[Quantity_Sold]]</f>
        <v>101526.75</v>
      </c>
      <c r="Q765" s="2">
        <f>_Salesdata[[#This Row],[Gross_Sales]] - _Salesdata[[#This Row],[Total Cost]]</f>
        <v>10445.219999999987</v>
      </c>
      <c r="R765" s="2"/>
    </row>
    <row r="766" spans="1:18" x14ac:dyDescent="0.25">
      <c r="A766">
        <v>1070</v>
      </c>
      <c r="B766" s="1">
        <v>45273</v>
      </c>
      <c r="C766" t="s">
        <v>24</v>
      </c>
      <c r="D766" t="s">
        <v>25</v>
      </c>
      <c r="E766" s="2">
        <v>100.12</v>
      </c>
      <c r="F766">
        <v>8</v>
      </c>
      <c r="G766" t="s">
        <v>19</v>
      </c>
      <c r="H766" s="2">
        <v>3762.27</v>
      </c>
      <c r="I766" s="2">
        <v>4166.95</v>
      </c>
      <c r="J766" t="s">
        <v>20</v>
      </c>
      <c r="K766">
        <v>0.16</v>
      </c>
      <c r="L766" t="s">
        <v>44</v>
      </c>
      <c r="M766" t="s">
        <v>22</v>
      </c>
      <c r="N766" t="s">
        <v>29</v>
      </c>
      <c r="O766" s="2">
        <f>_Salesdata[[#This Row],[Unit_Price]] * _Salesdata[[#This Row],[Quantity_Sold]]</f>
        <v>33335.599999999999</v>
      </c>
      <c r="P766" s="2">
        <f>_Salesdata[[#This Row],[Unit_Cost]] * _Salesdata[[#This Row],[Quantity_Sold]]</f>
        <v>30098.16</v>
      </c>
      <c r="Q766" s="2">
        <f>_Salesdata[[#This Row],[Gross_Sales]] - _Salesdata[[#This Row],[Total Cost]]</f>
        <v>3237.4399999999987</v>
      </c>
      <c r="R766" s="2"/>
    </row>
    <row r="767" spans="1:18" x14ac:dyDescent="0.25">
      <c r="A767">
        <v>1050</v>
      </c>
      <c r="B767" s="1">
        <v>45074</v>
      </c>
      <c r="C767" t="s">
        <v>24</v>
      </c>
      <c r="D767" t="s">
        <v>37</v>
      </c>
      <c r="E767" s="2">
        <v>8086.27</v>
      </c>
      <c r="F767">
        <v>6</v>
      </c>
      <c r="G767" t="s">
        <v>39</v>
      </c>
      <c r="H767" s="2">
        <v>3763.26</v>
      </c>
      <c r="I767" s="2">
        <v>4102.72</v>
      </c>
      <c r="J767" t="s">
        <v>27</v>
      </c>
      <c r="K767">
        <v>0.11</v>
      </c>
      <c r="L767" t="s">
        <v>28</v>
      </c>
      <c r="M767" t="s">
        <v>32</v>
      </c>
      <c r="N767" t="s">
        <v>53</v>
      </c>
      <c r="O767" s="2">
        <f>_Salesdata[[#This Row],[Unit_Price]] * _Salesdata[[#This Row],[Quantity_Sold]]</f>
        <v>24616.32</v>
      </c>
      <c r="P767" s="2">
        <f>_Salesdata[[#This Row],[Unit_Cost]] * _Salesdata[[#This Row],[Quantity_Sold]]</f>
        <v>22579.56</v>
      </c>
      <c r="Q767" s="2">
        <f>_Salesdata[[#This Row],[Gross_Sales]] - _Salesdata[[#This Row],[Total Cost]]</f>
        <v>2036.7599999999984</v>
      </c>
      <c r="R767" s="2"/>
    </row>
    <row r="768" spans="1:18" x14ac:dyDescent="0.25">
      <c r="A768">
        <v>1051</v>
      </c>
      <c r="B768" s="1">
        <v>45048</v>
      </c>
      <c r="C768" t="s">
        <v>24</v>
      </c>
      <c r="D768" t="s">
        <v>37</v>
      </c>
      <c r="E768" s="2">
        <v>6833.11</v>
      </c>
      <c r="F768">
        <v>34</v>
      </c>
      <c r="G768" t="s">
        <v>39</v>
      </c>
      <c r="H768" s="2">
        <v>3764.14</v>
      </c>
      <c r="I768" s="2">
        <v>4100.3999999999996</v>
      </c>
      <c r="J768" t="s">
        <v>20</v>
      </c>
      <c r="K768">
        <v>0.05</v>
      </c>
      <c r="L768" t="s">
        <v>44</v>
      </c>
      <c r="M768" t="s">
        <v>32</v>
      </c>
      <c r="N768" t="s">
        <v>53</v>
      </c>
      <c r="O768" s="2">
        <f>_Salesdata[[#This Row],[Unit_Price]] * _Salesdata[[#This Row],[Quantity_Sold]]</f>
        <v>139413.59999999998</v>
      </c>
      <c r="P768" s="2">
        <f>_Salesdata[[#This Row],[Unit_Cost]] * _Salesdata[[#This Row],[Quantity_Sold]]</f>
        <v>127980.76</v>
      </c>
      <c r="Q768" s="2">
        <f>_Salesdata[[#This Row],[Gross_Sales]] - _Salesdata[[#This Row],[Total Cost]]</f>
        <v>11432.839999999982</v>
      </c>
      <c r="R768" s="2"/>
    </row>
    <row r="769" spans="1:18" x14ac:dyDescent="0.25">
      <c r="A769">
        <v>1007</v>
      </c>
      <c r="B769" s="1">
        <v>44955</v>
      </c>
      <c r="C769" t="s">
        <v>35</v>
      </c>
      <c r="D769" t="s">
        <v>25</v>
      </c>
      <c r="E769" s="2">
        <v>2491.21</v>
      </c>
      <c r="F769">
        <v>13</v>
      </c>
      <c r="G769" t="s">
        <v>39</v>
      </c>
      <c r="H769" s="2">
        <v>3765.46</v>
      </c>
      <c r="I769" s="2">
        <v>3860.56</v>
      </c>
      <c r="J769" t="s">
        <v>20</v>
      </c>
      <c r="K769">
        <v>0.22</v>
      </c>
      <c r="L769" t="s">
        <v>21</v>
      </c>
      <c r="M769" t="s">
        <v>32</v>
      </c>
      <c r="N769" t="s">
        <v>56</v>
      </c>
      <c r="O769" s="2">
        <f>_Salesdata[[#This Row],[Unit_Price]] * _Salesdata[[#This Row],[Quantity_Sold]]</f>
        <v>50187.28</v>
      </c>
      <c r="P769" s="2">
        <f>_Salesdata[[#This Row],[Unit_Cost]] * _Salesdata[[#This Row],[Quantity_Sold]]</f>
        <v>48950.98</v>
      </c>
      <c r="Q769" s="2">
        <f>_Salesdata[[#This Row],[Gross_Sales]] - _Salesdata[[#This Row],[Total Cost]]</f>
        <v>1236.2999999999956</v>
      </c>
      <c r="R769" s="2"/>
    </row>
    <row r="770" spans="1:18" x14ac:dyDescent="0.25">
      <c r="A770">
        <v>1021</v>
      </c>
      <c r="B770" s="1">
        <v>45254</v>
      </c>
      <c r="C770" t="s">
        <v>48</v>
      </c>
      <c r="D770" t="s">
        <v>37</v>
      </c>
      <c r="E770" s="2">
        <v>213.04</v>
      </c>
      <c r="F770">
        <v>15</v>
      </c>
      <c r="G770" t="s">
        <v>31</v>
      </c>
      <c r="H770" s="2">
        <v>3771.27</v>
      </c>
      <c r="I770" s="2">
        <v>4212.55</v>
      </c>
      <c r="J770" t="s">
        <v>20</v>
      </c>
      <c r="K770">
        <v>0.16</v>
      </c>
      <c r="L770" t="s">
        <v>28</v>
      </c>
      <c r="M770" t="s">
        <v>32</v>
      </c>
      <c r="N770" t="s">
        <v>52</v>
      </c>
      <c r="O770" s="2">
        <f>_Salesdata[[#This Row],[Unit_Price]] * _Salesdata[[#This Row],[Quantity_Sold]]</f>
        <v>63188.25</v>
      </c>
      <c r="P770" s="2">
        <f>_Salesdata[[#This Row],[Unit_Cost]] * _Salesdata[[#This Row],[Quantity_Sold]]</f>
        <v>56569.05</v>
      </c>
      <c r="Q770" s="2">
        <f>_Salesdata[[#This Row],[Gross_Sales]] - _Salesdata[[#This Row],[Total Cost]]</f>
        <v>6619.1999999999971</v>
      </c>
      <c r="R770" s="2"/>
    </row>
    <row r="771" spans="1:18" x14ac:dyDescent="0.25">
      <c r="A771">
        <v>1035</v>
      </c>
      <c r="B771" s="1">
        <v>44948</v>
      </c>
      <c r="C771" t="s">
        <v>24</v>
      </c>
      <c r="D771" t="s">
        <v>37</v>
      </c>
      <c r="E771" s="2">
        <v>8387.48</v>
      </c>
      <c r="F771">
        <v>28</v>
      </c>
      <c r="G771" t="s">
        <v>39</v>
      </c>
      <c r="H771" s="2">
        <v>3771.38</v>
      </c>
      <c r="I771" s="2">
        <v>4234.92</v>
      </c>
      <c r="J771" t="s">
        <v>27</v>
      </c>
      <c r="K771">
        <v>0.28000000000000003</v>
      </c>
      <c r="L771" t="s">
        <v>28</v>
      </c>
      <c r="M771" t="s">
        <v>32</v>
      </c>
      <c r="N771" t="s">
        <v>53</v>
      </c>
      <c r="O771" s="2">
        <f>_Salesdata[[#This Row],[Unit_Price]] * _Salesdata[[#This Row],[Quantity_Sold]]</f>
        <v>118577.76000000001</v>
      </c>
      <c r="P771" s="2">
        <f>_Salesdata[[#This Row],[Unit_Cost]] * _Salesdata[[#This Row],[Quantity_Sold]]</f>
        <v>105598.64</v>
      </c>
      <c r="Q771" s="2">
        <f>_Salesdata[[#This Row],[Gross_Sales]] - _Salesdata[[#This Row],[Total Cost]]</f>
        <v>12979.12000000001</v>
      </c>
      <c r="R771" s="2"/>
    </row>
    <row r="772" spans="1:18" x14ac:dyDescent="0.25">
      <c r="A772">
        <v>1045</v>
      </c>
      <c r="B772" s="1">
        <v>44938</v>
      </c>
      <c r="C772" t="s">
        <v>35</v>
      </c>
      <c r="D772" t="s">
        <v>40</v>
      </c>
      <c r="E772" s="2">
        <v>9613.11</v>
      </c>
      <c r="F772">
        <v>35</v>
      </c>
      <c r="G772" t="s">
        <v>39</v>
      </c>
      <c r="H772" s="2">
        <v>3777.94</v>
      </c>
      <c r="I772" s="2">
        <v>4188.66</v>
      </c>
      <c r="J772" t="s">
        <v>27</v>
      </c>
      <c r="K772">
        <v>0.17</v>
      </c>
      <c r="L772" t="s">
        <v>44</v>
      </c>
      <c r="M772" t="s">
        <v>22</v>
      </c>
      <c r="N772" t="s">
        <v>43</v>
      </c>
      <c r="O772" s="2">
        <f>_Salesdata[[#This Row],[Unit_Price]] * _Salesdata[[#This Row],[Quantity_Sold]]</f>
        <v>146603.1</v>
      </c>
      <c r="P772" s="2">
        <f>_Salesdata[[#This Row],[Unit_Cost]] * _Salesdata[[#This Row],[Quantity_Sold]]</f>
        <v>132227.9</v>
      </c>
      <c r="Q772" s="2">
        <f>_Salesdata[[#This Row],[Gross_Sales]] - _Salesdata[[#This Row],[Total Cost]]</f>
        <v>14375.200000000012</v>
      </c>
      <c r="R772" s="2"/>
    </row>
    <row r="773" spans="1:18" x14ac:dyDescent="0.25">
      <c r="A773">
        <v>1017</v>
      </c>
      <c r="B773" s="1">
        <v>45002</v>
      </c>
      <c r="C773" t="s">
        <v>17</v>
      </c>
      <c r="D773" t="s">
        <v>37</v>
      </c>
      <c r="E773" s="2">
        <v>2401.81</v>
      </c>
      <c r="F773">
        <v>28</v>
      </c>
      <c r="G773" t="s">
        <v>19</v>
      </c>
      <c r="H773" s="2">
        <v>3780.91</v>
      </c>
      <c r="I773" s="2">
        <v>3892.73</v>
      </c>
      <c r="J773" t="s">
        <v>20</v>
      </c>
      <c r="K773">
        <v>0.1</v>
      </c>
      <c r="L773" t="s">
        <v>21</v>
      </c>
      <c r="M773" t="s">
        <v>32</v>
      </c>
      <c r="N773" t="s">
        <v>47</v>
      </c>
      <c r="O773" s="2">
        <f>_Salesdata[[#This Row],[Unit_Price]] * _Salesdata[[#This Row],[Quantity_Sold]]</f>
        <v>108996.44</v>
      </c>
      <c r="P773" s="2">
        <f>_Salesdata[[#This Row],[Unit_Cost]] * _Salesdata[[#This Row],[Quantity_Sold]]</f>
        <v>105865.48</v>
      </c>
      <c r="Q773" s="2">
        <f>_Salesdata[[#This Row],[Gross_Sales]] - _Salesdata[[#This Row],[Total Cost]]</f>
        <v>3130.9600000000064</v>
      </c>
      <c r="R773" s="2"/>
    </row>
    <row r="774" spans="1:18" x14ac:dyDescent="0.25">
      <c r="A774">
        <v>1060</v>
      </c>
      <c r="B774" s="1">
        <v>45276</v>
      </c>
      <c r="C774" t="s">
        <v>48</v>
      </c>
      <c r="D774" t="s">
        <v>18</v>
      </c>
      <c r="E774" s="2">
        <v>3224.71</v>
      </c>
      <c r="F774">
        <v>44</v>
      </c>
      <c r="G774" t="s">
        <v>19</v>
      </c>
      <c r="H774" s="2">
        <v>3784.96</v>
      </c>
      <c r="I774" s="2">
        <v>4276.99</v>
      </c>
      <c r="J774" t="s">
        <v>27</v>
      </c>
      <c r="K774">
        <v>0.06</v>
      </c>
      <c r="L774" t="s">
        <v>44</v>
      </c>
      <c r="M774" t="s">
        <v>32</v>
      </c>
      <c r="N774" t="s">
        <v>54</v>
      </c>
      <c r="O774" s="2">
        <f>_Salesdata[[#This Row],[Unit_Price]] * _Salesdata[[#This Row],[Quantity_Sold]]</f>
        <v>188187.56</v>
      </c>
      <c r="P774" s="2">
        <f>_Salesdata[[#This Row],[Unit_Cost]] * _Salesdata[[#This Row],[Quantity_Sold]]</f>
        <v>166538.23999999999</v>
      </c>
      <c r="Q774" s="2">
        <f>_Salesdata[[#This Row],[Gross_Sales]] - _Salesdata[[#This Row],[Total Cost]]</f>
        <v>21649.320000000007</v>
      </c>
      <c r="R774" s="2"/>
    </row>
    <row r="775" spans="1:18" x14ac:dyDescent="0.25">
      <c r="A775">
        <v>1070</v>
      </c>
      <c r="B775" s="1">
        <v>45075</v>
      </c>
      <c r="C775" t="s">
        <v>35</v>
      </c>
      <c r="D775" t="s">
        <v>40</v>
      </c>
      <c r="E775" s="2">
        <v>1108.74</v>
      </c>
      <c r="F775">
        <v>14</v>
      </c>
      <c r="G775" t="s">
        <v>39</v>
      </c>
      <c r="H775" s="2">
        <v>3796.79</v>
      </c>
      <c r="I775" s="2">
        <v>3947.5</v>
      </c>
      <c r="J775" t="s">
        <v>20</v>
      </c>
      <c r="K775">
        <v>0.24</v>
      </c>
      <c r="L775" t="s">
        <v>44</v>
      </c>
      <c r="M775" t="s">
        <v>22</v>
      </c>
      <c r="N775" t="s">
        <v>43</v>
      </c>
      <c r="O775" s="2">
        <f>_Salesdata[[#This Row],[Unit_Price]] * _Salesdata[[#This Row],[Quantity_Sold]]</f>
        <v>55265</v>
      </c>
      <c r="P775" s="2">
        <f>_Salesdata[[#This Row],[Unit_Cost]] * _Salesdata[[#This Row],[Quantity_Sold]]</f>
        <v>53155.06</v>
      </c>
      <c r="Q775" s="2">
        <f>_Salesdata[[#This Row],[Gross_Sales]] - _Salesdata[[#This Row],[Total Cost]]</f>
        <v>2109.9400000000023</v>
      </c>
      <c r="R775" s="2"/>
    </row>
    <row r="776" spans="1:18" x14ac:dyDescent="0.25">
      <c r="A776">
        <v>1079</v>
      </c>
      <c r="B776" s="1">
        <v>45162</v>
      </c>
      <c r="C776" t="s">
        <v>24</v>
      </c>
      <c r="D776" t="s">
        <v>37</v>
      </c>
      <c r="E776" s="2">
        <v>9972.66</v>
      </c>
      <c r="F776">
        <v>8</v>
      </c>
      <c r="G776" t="s">
        <v>19</v>
      </c>
      <c r="H776" s="2">
        <v>3808.23</v>
      </c>
      <c r="I776" s="2">
        <v>3891.62</v>
      </c>
      <c r="J776" t="s">
        <v>20</v>
      </c>
      <c r="K776">
        <v>0.26</v>
      </c>
      <c r="L776" t="s">
        <v>44</v>
      </c>
      <c r="M776" t="s">
        <v>22</v>
      </c>
      <c r="N776" t="s">
        <v>53</v>
      </c>
      <c r="O776" s="2">
        <f>_Salesdata[[#This Row],[Unit_Price]] * _Salesdata[[#This Row],[Quantity_Sold]]</f>
        <v>31132.959999999999</v>
      </c>
      <c r="P776" s="2">
        <f>_Salesdata[[#This Row],[Unit_Cost]] * _Salesdata[[#This Row],[Quantity_Sold]]</f>
        <v>30465.84</v>
      </c>
      <c r="Q776" s="2">
        <f>_Salesdata[[#This Row],[Gross_Sales]] - _Salesdata[[#This Row],[Total Cost]]</f>
        <v>667.11999999999898</v>
      </c>
      <c r="R776" s="2"/>
    </row>
    <row r="777" spans="1:18" x14ac:dyDescent="0.25">
      <c r="A777">
        <v>1093</v>
      </c>
      <c r="B777" s="1">
        <v>45187</v>
      </c>
      <c r="C777" t="s">
        <v>30</v>
      </c>
      <c r="D777" t="s">
        <v>25</v>
      </c>
      <c r="E777" s="2">
        <v>4040.25</v>
      </c>
      <c r="F777">
        <v>19</v>
      </c>
      <c r="G777" t="s">
        <v>26</v>
      </c>
      <c r="H777" s="2">
        <v>3808.59</v>
      </c>
      <c r="I777" s="2">
        <v>3844.51</v>
      </c>
      <c r="J777" t="s">
        <v>27</v>
      </c>
      <c r="K777">
        <v>0.21</v>
      </c>
      <c r="L777" t="s">
        <v>28</v>
      </c>
      <c r="M777" t="s">
        <v>22</v>
      </c>
      <c r="N777" t="s">
        <v>45</v>
      </c>
      <c r="O777" s="2">
        <f>_Salesdata[[#This Row],[Unit_Price]] * _Salesdata[[#This Row],[Quantity_Sold]]</f>
        <v>73045.69</v>
      </c>
      <c r="P777" s="2">
        <f>_Salesdata[[#This Row],[Unit_Cost]] * _Salesdata[[#This Row],[Quantity_Sold]]</f>
        <v>72363.210000000006</v>
      </c>
      <c r="Q777" s="2">
        <f>_Salesdata[[#This Row],[Gross_Sales]] - _Salesdata[[#This Row],[Total Cost]]</f>
        <v>682.47999999999593</v>
      </c>
      <c r="R777" s="2"/>
    </row>
    <row r="778" spans="1:18" x14ac:dyDescent="0.25">
      <c r="A778">
        <v>1035</v>
      </c>
      <c r="B778" s="1">
        <v>45142</v>
      </c>
      <c r="C778" t="s">
        <v>30</v>
      </c>
      <c r="D778" t="s">
        <v>40</v>
      </c>
      <c r="E778" s="2">
        <v>3817.14</v>
      </c>
      <c r="F778">
        <v>30</v>
      </c>
      <c r="G778" t="s">
        <v>26</v>
      </c>
      <c r="H778" s="2">
        <v>3813.62</v>
      </c>
      <c r="I778" s="2">
        <v>3839.72</v>
      </c>
      <c r="J778" t="s">
        <v>27</v>
      </c>
      <c r="K778">
        <v>0.21</v>
      </c>
      <c r="L778" t="s">
        <v>28</v>
      </c>
      <c r="M778" t="s">
        <v>22</v>
      </c>
      <c r="N778" t="s">
        <v>41</v>
      </c>
      <c r="O778" s="2">
        <f>_Salesdata[[#This Row],[Unit_Price]] * _Salesdata[[#This Row],[Quantity_Sold]]</f>
        <v>115191.59999999999</v>
      </c>
      <c r="P778" s="2">
        <f>_Salesdata[[#This Row],[Unit_Cost]] * _Salesdata[[#This Row],[Quantity_Sold]]</f>
        <v>114408.59999999999</v>
      </c>
      <c r="Q778" s="2">
        <f>_Salesdata[[#This Row],[Gross_Sales]] - _Salesdata[[#This Row],[Total Cost]]</f>
        <v>783</v>
      </c>
      <c r="R778" s="2"/>
    </row>
    <row r="779" spans="1:18" x14ac:dyDescent="0.25">
      <c r="A779">
        <v>1093</v>
      </c>
      <c r="B779" s="1">
        <v>45037</v>
      </c>
      <c r="C779" t="s">
        <v>17</v>
      </c>
      <c r="D779" t="s">
        <v>25</v>
      </c>
      <c r="E779" s="2">
        <v>4384.0200000000004</v>
      </c>
      <c r="F779">
        <v>17</v>
      </c>
      <c r="G779" t="s">
        <v>39</v>
      </c>
      <c r="H779" s="2">
        <v>3816.39</v>
      </c>
      <c r="I779" s="2">
        <v>4209.4399999999996</v>
      </c>
      <c r="J779" t="s">
        <v>20</v>
      </c>
      <c r="K779">
        <v>0.11</v>
      </c>
      <c r="L779" t="s">
        <v>21</v>
      </c>
      <c r="M779" t="s">
        <v>32</v>
      </c>
      <c r="N779" t="s">
        <v>34</v>
      </c>
      <c r="O779" s="2">
        <f>_Salesdata[[#This Row],[Unit_Price]] * _Salesdata[[#This Row],[Quantity_Sold]]</f>
        <v>71560.479999999996</v>
      </c>
      <c r="P779" s="2">
        <f>_Salesdata[[#This Row],[Unit_Cost]] * _Salesdata[[#This Row],[Quantity_Sold]]</f>
        <v>64878.63</v>
      </c>
      <c r="Q779" s="2">
        <f>_Salesdata[[#This Row],[Gross_Sales]] - _Salesdata[[#This Row],[Total Cost]]</f>
        <v>6681.8499999999985</v>
      </c>
      <c r="R779" s="2"/>
    </row>
    <row r="780" spans="1:18" x14ac:dyDescent="0.25">
      <c r="A780">
        <v>1012</v>
      </c>
      <c r="B780" s="1">
        <v>44985</v>
      </c>
      <c r="C780" t="s">
        <v>30</v>
      </c>
      <c r="D780" t="s">
        <v>18</v>
      </c>
      <c r="E780" s="2">
        <v>5650.72</v>
      </c>
      <c r="F780">
        <v>33</v>
      </c>
      <c r="G780" t="s">
        <v>31</v>
      </c>
      <c r="H780" s="2">
        <v>3831.09</v>
      </c>
      <c r="I780" s="2">
        <v>3908.37</v>
      </c>
      <c r="J780" t="s">
        <v>27</v>
      </c>
      <c r="K780">
        <v>0.28999999999999998</v>
      </c>
      <c r="L780" t="s">
        <v>21</v>
      </c>
      <c r="M780" t="s">
        <v>32</v>
      </c>
      <c r="N780" t="s">
        <v>33</v>
      </c>
      <c r="O780" s="2">
        <f>_Salesdata[[#This Row],[Unit_Price]] * _Salesdata[[#This Row],[Quantity_Sold]]</f>
        <v>128976.20999999999</v>
      </c>
      <c r="P780" s="2">
        <f>_Salesdata[[#This Row],[Unit_Cost]] * _Salesdata[[#This Row],[Quantity_Sold]]</f>
        <v>126425.97</v>
      </c>
      <c r="Q780" s="2">
        <f>_Salesdata[[#This Row],[Gross_Sales]] - _Salesdata[[#This Row],[Total Cost]]</f>
        <v>2550.2399999999907</v>
      </c>
      <c r="R780" s="2"/>
    </row>
    <row r="781" spans="1:18" x14ac:dyDescent="0.25">
      <c r="A781">
        <v>1045</v>
      </c>
      <c r="B781" s="1">
        <v>45096</v>
      </c>
      <c r="C781" t="s">
        <v>30</v>
      </c>
      <c r="D781" t="s">
        <v>37</v>
      </c>
      <c r="E781" s="2">
        <v>2768.17</v>
      </c>
      <c r="F781">
        <v>36</v>
      </c>
      <c r="G781" t="s">
        <v>26</v>
      </c>
      <c r="H781" s="2">
        <v>3835.64</v>
      </c>
      <c r="I781" s="2">
        <v>4076.77</v>
      </c>
      <c r="J781" t="s">
        <v>20</v>
      </c>
      <c r="K781">
        <v>0.1</v>
      </c>
      <c r="L781" t="s">
        <v>28</v>
      </c>
      <c r="M781" t="s">
        <v>32</v>
      </c>
      <c r="N781" t="s">
        <v>51</v>
      </c>
      <c r="O781" s="2">
        <f>_Salesdata[[#This Row],[Unit_Price]] * _Salesdata[[#This Row],[Quantity_Sold]]</f>
        <v>146763.72</v>
      </c>
      <c r="P781" s="2">
        <f>_Salesdata[[#This Row],[Unit_Cost]] * _Salesdata[[#This Row],[Quantity_Sold]]</f>
        <v>138083.04</v>
      </c>
      <c r="Q781" s="2">
        <f>_Salesdata[[#This Row],[Gross_Sales]] - _Salesdata[[#This Row],[Total Cost]]</f>
        <v>8680.679999999993</v>
      </c>
      <c r="R781" s="2"/>
    </row>
    <row r="782" spans="1:18" x14ac:dyDescent="0.25">
      <c r="A782">
        <v>1089</v>
      </c>
      <c r="B782" s="1">
        <v>45217</v>
      </c>
      <c r="C782" t="s">
        <v>30</v>
      </c>
      <c r="D782" t="s">
        <v>37</v>
      </c>
      <c r="E782" s="2">
        <v>7405.38</v>
      </c>
      <c r="F782">
        <v>15</v>
      </c>
      <c r="G782" t="s">
        <v>31</v>
      </c>
      <c r="H782" s="2">
        <v>3841.05</v>
      </c>
      <c r="I782" s="2">
        <v>4323.62</v>
      </c>
      <c r="J782" t="s">
        <v>20</v>
      </c>
      <c r="K782">
        <v>0.28999999999999998</v>
      </c>
      <c r="L782" t="s">
        <v>28</v>
      </c>
      <c r="M782" t="s">
        <v>32</v>
      </c>
      <c r="N782" t="s">
        <v>51</v>
      </c>
      <c r="O782" s="2">
        <f>_Salesdata[[#This Row],[Unit_Price]] * _Salesdata[[#This Row],[Quantity_Sold]]</f>
        <v>64854.299999999996</v>
      </c>
      <c r="P782" s="2">
        <f>_Salesdata[[#This Row],[Unit_Cost]] * _Salesdata[[#This Row],[Quantity_Sold]]</f>
        <v>57615.75</v>
      </c>
      <c r="Q782" s="2">
        <f>_Salesdata[[#This Row],[Gross_Sales]] - _Salesdata[[#This Row],[Total Cost]]</f>
        <v>7238.5499999999956</v>
      </c>
      <c r="R782" s="2"/>
    </row>
    <row r="783" spans="1:18" x14ac:dyDescent="0.25">
      <c r="A783">
        <v>1046</v>
      </c>
      <c r="B783" s="1">
        <v>45119</v>
      </c>
      <c r="C783" t="s">
        <v>48</v>
      </c>
      <c r="D783" t="s">
        <v>37</v>
      </c>
      <c r="E783" s="2">
        <v>485.49</v>
      </c>
      <c r="F783">
        <v>17</v>
      </c>
      <c r="G783" t="s">
        <v>39</v>
      </c>
      <c r="H783" s="2">
        <v>3850.99</v>
      </c>
      <c r="I783" s="2">
        <v>4045.3399999999901</v>
      </c>
      <c r="J783" t="s">
        <v>20</v>
      </c>
      <c r="K783">
        <v>0.16</v>
      </c>
      <c r="L783" t="s">
        <v>28</v>
      </c>
      <c r="M783" t="s">
        <v>22</v>
      </c>
      <c r="N783" t="s">
        <v>52</v>
      </c>
      <c r="O783" s="2">
        <f>_Salesdata[[#This Row],[Unit_Price]] * _Salesdata[[#This Row],[Quantity_Sold]]</f>
        <v>68770.779999999839</v>
      </c>
      <c r="P783" s="2">
        <f>_Salesdata[[#This Row],[Unit_Cost]] * _Salesdata[[#This Row],[Quantity_Sold]]</f>
        <v>65466.829999999994</v>
      </c>
      <c r="Q783" s="2">
        <f>_Salesdata[[#This Row],[Gross_Sales]] - _Salesdata[[#This Row],[Total Cost]]</f>
        <v>3303.9499999998443</v>
      </c>
      <c r="R783" s="2"/>
    </row>
    <row r="784" spans="1:18" x14ac:dyDescent="0.25">
      <c r="A784">
        <v>1089</v>
      </c>
      <c r="B784" s="1">
        <v>45226</v>
      </c>
      <c r="C784" t="s">
        <v>30</v>
      </c>
      <c r="D784" t="s">
        <v>37</v>
      </c>
      <c r="E784" s="2">
        <v>7751.92</v>
      </c>
      <c r="F784">
        <v>43</v>
      </c>
      <c r="G784" t="s">
        <v>39</v>
      </c>
      <c r="H784" s="2">
        <v>3851.45</v>
      </c>
      <c r="I784" s="2">
        <v>4186.9799999999996</v>
      </c>
      <c r="J784" t="s">
        <v>20</v>
      </c>
      <c r="K784">
        <v>0.3</v>
      </c>
      <c r="L784" t="s">
        <v>28</v>
      </c>
      <c r="M784" t="s">
        <v>22</v>
      </c>
      <c r="N784" t="s">
        <v>51</v>
      </c>
      <c r="O784" s="2">
        <f>_Salesdata[[#This Row],[Unit_Price]] * _Salesdata[[#This Row],[Quantity_Sold]]</f>
        <v>180040.13999999998</v>
      </c>
      <c r="P784" s="2">
        <f>_Salesdata[[#This Row],[Unit_Cost]] * _Salesdata[[#This Row],[Quantity_Sold]]</f>
        <v>165612.35</v>
      </c>
      <c r="Q784" s="2">
        <f>_Salesdata[[#This Row],[Gross_Sales]] - _Salesdata[[#This Row],[Total Cost]]</f>
        <v>14427.789999999979</v>
      </c>
      <c r="R784" s="2"/>
    </row>
    <row r="785" spans="1:18" x14ac:dyDescent="0.25">
      <c r="A785">
        <v>1025</v>
      </c>
      <c r="B785" s="1">
        <v>45103</v>
      </c>
      <c r="C785" t="s">
        <v>30</v>
      </c>
      <c r="D785" t="s">
        <v>37</v>
      </c>
      <c r="E785" s="2">
        <v>2457.65</v>
      </c>
      <c r="F785">
        <v>47</v>
      </c>
      <c r="G785" t="s">
        <v>39</v>
      </c>
      <c r="H785" s="2">
        <v>3861.61</v>
      </c>
      <c r="I785" s="2">
        <v>3998.91</v>
      </c>
      <c r="J785" t="s">
        <v>27</v>
      </c>
      <c r="K785">
        <v>0.25</v>
      </c>
      <c r="L785" t="s">
        <v>28</v>
      </c>
      <c r="M785" t="s">
        <v>22</v>
      </c>
      <c r="N785" t="s">
        <v>51</v>
      </c>
      <c r="O785" s="2">
        <f>_Salesdata[[#This Row],[Unit_Price]] * _Salesdata[[#This Row],[Quantity_Sold]]</f>
        <v>187948.77</v>
      </c>
      <c r="P785" s="2">
        <f>_Salesdata[[#This Row],[Unit_Cost]] * _Salesdata[[#This Row],[Quantity_Sold]]</f>
        <v>181495.67</v>
      </c>
      <c r="Q785" s="2">
        <f>_Salesdata[[#This Row],[Gross_Sales]] - _Salesdata[[#This Row],[Total Cost]]</f>
        <v>6453.0999999999767</v>
      </c>
      <c r="R785" s="2"/>
    </row>
    <row r="786" spans="1:18" x14ac:dyDescent="0.25">
      <c r="A786">
        <v>1016</v>
      </c>
      <c r="B786" s="1">
        <v>45016</v>
      </c>
      <c r="C786" t="s">
        <v>48</v>
      </c>
      <c r="D786" t="s">
        <v>18</v>
      </c>
      <c r="E786" s="2">
        <v>4309.76</v>
      </c>
      <c r="F786">
        <v>38</v>
      </c>
      <c r="G786" t="s">
        <v>26</v>
      </c>
      <c r="H786" s="2">
        <v>3883.38</v>
      </c>
      <c r="I786" s="2">
        <v>4152.72</v>
      </c>
      <c r="J786" t="s">
        <v>20</v>
      </c>
      <c r="K786">
        <v>0.26</v>
      </c>
      <c r="L786" t="s">
        <v>21</v>
      </c>
      <c r="M786" t="s">
        <v>22</v>
      </c>
      <c r="N786" t="s">
        <v>54</v>
      </c>
      <c r="O786" s="2">
        <f>_Salesdata[[#This Row],[Unit_Price]] * _Salesdata[[#This Row],[Quantity_Sold]]</f>
        <v>157803.36000000002</v>
      </c>
      <c r="P786" s="2">
        <f>_Salesdata[[#This Row],[Unit_Cost]] * _Salesdata[[#This Row],[Quantity_Sold]]</f>
        <v>147568.44</v>
      </c>
      <c r="Q786" s="2">
        <f>_Salesdata[[#This Row],[Gross_Sales]] - _Salesdata[[#This Row],[Total Cost]]</f>
        <v>10234.920000000013</v>
      </c>
      <c r="R786" s="2"/>
    </row>
    <row r="787" spans="1:18" x14ac:dyDescent="0.25">
      <c r="A787">
        <v>1088</v>
      </c>
      <c r="B787" s="1">
        <v>44937</v>
      </c>
      <c r="C787" t="s">
        <v>24</v>
      </c>
      <c r="D787" t="s">
        <v>40</v>
      </c>
      <c r="E787" s="2">
        <v>1758.16</v>
      </c>
      <c r="F787">
        <v>11</v>
      </c>
      <c r="G787" t="s">
        <v>31</v>
      </c>
      <c r="H787" s="2">
        <v>3884.13</v>
      </c>
      <c r="I787" s="2">
        <v>3915.41</v>
      </c>
      <c r="J787" t="s">
        <v>20</v>
      </c>
      <c r="K787">
        <v>0.02</v>
      </c>
      <c r="L787" t="s">
        <v>21</v>
      </c>
      <c r="M787" t="s">
        <v>22</v>
      </c>
      <c r="N787" t="s">
        <v>55</v>
      </c>
      <c r="O787" s="2">
        <f>_Salesdata[[#This Row],[Unit_Price]] * _Salesdata[[#This Row],[Quantity_Sold]]</f>
        <v>43069.509999999995</v>
      </c>
      <c r="P787" s="2">
        <f>_Salesdata[[#This Row],[Unit_Cost]] * _Salesdata[[#This Row],[Quantity_Sold]]</f>
        <v>42725.43</v>
      </c>
      <c r="Q787" s="2">
        <f>_Salesdata[[#This Row],[Gross_Sales]] - _Salesdata[[#This Row],[Total Cost]]</f>
        <v>344.07999999999447</v>
      </c>
      <c r="R787" s="2"/>
    </row>
    <row r="788" spans="1:18" x14ac:dyDescent="0.25">
      <c r="A788">
        <v>1098</v>
      </c>
      <c r="B788" s="1">
        <v>45270</v>
      </c>
      <c r="C788" t="s">
        <v>48</v>
      </c>
      <c r="D788" t="s">
        <v>18</v>
      </c>
      <c r="E788" s="2">
        <v>3419.26</v>
      </c>
      <c r="F788">
        <v>28</v>
      </c>
      <c r="G788" t="s">
        <v>26</v>
      </c>
      <c r="H788" s="2">
        <v>3895.62</v>
      </c>
      <c r="I788" s="2">
        <v>4055.44</v>
      </c>
      <c r="J788" t="s">
        <v>27</v>
      </c>
      <c r="K788">
        <v>0.03</v>
      </c>
      <c r="L788" t="s">
        <v>44</v>
      </c>
      <c r="M788" t="s">
        <v>32</v>
      </c>
      <c r="N788" t="s">
        <v>54</v>
      </c>
      <c r="O788" s="2">
        <f>_Salesdata[[#This Row],[Unit_Price]] * _Salesdata[[#This Row],[Quantity_Sold]]</f>
        <v>113552.32000000001</v>
      </c>
      <c r="P788" s="2">
        <f>_Salesdata[[#This Row],[Unit_Cost]] * _Salesdata[[#This Row],[Quantity_Sold]]</f>
        <v>109077.36</v>
      </c>
      <c r="Q788" s="2">
        <f>_Salesdata[[#This Row],[Gross_Sales]] - _Salesdata[[#This Row],[Total Cost]]</f>
        <v>4474.9600000000064</v>
      </c>
      <c r="R788" s="2"/>
    </row>
    <row r="789" spans="1:18" x14ac:dyDescent="0.25">
      <c r="A789">
        <v>1038</v>
      </c>
      <c r="B789" s="1">
        <v>44966</v>
      </c>
      <c r="C789" t="s">
        <v>24</v>
      </c>
      <c r="D789" t="s">
        <v>18</v>
      </c>
      <c r="E789" s="2">
        <v>5529.35</v>
      </c>
      <c r="F789">
        <v>16</v>
      </c>
      <c r="G789" t="s">
        <v>39</v>
      </c>
      <c r="H789" s="2">
        <v>3899.7</v>
      </c>
      <c r="I789" s="2">
        <v>4228.18</v>
      </c>
      <c r="J789" t="s">
        <v>27</v>
      </c>
      <c r="K789">
        <v>0.27</v>
      </c>
      <c r="L789" t="s">
        <v>21</v>
      </c>
      <c r="M789" t="s">
        <v>32</v>
      </c>
      <c r="N789" t="s">
        <v>46</v>
      </c>
      <c r="O789" s="2">
        <f>_Salesdata[[#This Row],[Unit_Price]] * _Salesdata[[#This Row],[Quantity_Sold]]</f>
        <v>67650.880000000005</v>
      </c>
      <c r="P789" s="2">
        <f>_Salesdata[[#This Row],[Unit_Cost]] * _Salesdata[[#This Row],[Quantity_Sold]]</f>
        <v>62395.199999999997</v>
      </c>
      <c r="Q789" s="2">
        <f>_Salesdata[[#This Row],[Gross_Sales]] - _Salesdata[[#This Row],[Total Cost]]</f>
        <v>5255.6800000000076</v>
      </c>
      <c r="R789" s="2"/>
    </row>
    <row r="790" spans="1:18" x14ac:dyDescent="0.25">
      <c r="A790">
        <v>1019</v>
      </c>
      <c r="B790" s="1">
        <v>45074</v>
      </c>
      <c r="C790" t="s">
        <v>24</v>
      </c>
      <c r="D790" t="s">
        <v>18</v>
      </c>
      <c r="E790" s="2">
        <v>6917.45</v>
      </c>
      <c r="F790">
        <v>28</v>
      </c>
      <c r="G790" t="s">
        <v>39</v>
      </c>
      <c r="H790" s="2">
        <v>3907.86</v>
      </c>
      <c r="I790" s="2">
        <v>4205.37</v>
      </c>
      <c r="J790" t="s">
        <v>27</v>
      </c>
      <c r="K790">
        <v>0.09</v>
      </c>
      <c r="L790" t="s">
        <v>28</v>
      </c>
      <c r="M790" t="s">
        <v>22</v>
      </c>
      <c r="N790" t="s">
        <v>46</v>
      </c>
      <c r="O790" s="2">
        <f>_Salesdata[[#This Row],[Unit_Price]] * _Salesdata[[#This Row],[Quantity_Sold]]</f>
        <v>117750.36</v>
      </c>
      <c r="P790" s="2">
        <f>_Salesdata[[#This Row],[Unit_Cost]] * _Salesdata[[#This Row],[Quantity_Sold]]</f>
        <v>109420.08</v>
      </c>
      <c r="Q790" s="2">
        <f>_Salesdata[[#This Row],[Gross_Sales]] - _Salesdata[[#This Row],[Total Cost]]</f>
        <v>8330.2799999999988</v>
      </c>
      <c r="R790" s="2"/>
    </row>
    <row r="791" spans="1:18" x14ac:dyDescent="0.25">
      <c r="A791">
        <v>1089</v>
      </c>
      <c r="B791" s="1">
        <v>45103</v>
      </c>
      <c r="C791" t="s">
        <v>48</v>
      </c>
      <c r="D791" t="s">
        <v>37</v>
      </c>
      <c r="E791" s="2">
        <v>9029.2099999999991</v>
      </c>
      <c r="F791">
        <v>35</v>
      </c>
      <c r="G791" t="s">
        <v>39</v>
      </c>
      <c r="H791" s="2">
        <v>3925.85</v>
      </c>
      <c r="I791" s="2">
        <v>4082.1099999999901</v>
      </c>
      <c r="J791" t="s">
        <v>27</v>
      </c>
      <c r="K791">
        <v>0.22</v>
      </c>
      <c r="L791" t="s">
        <v>21</v>
      </c>
      <c r="M791" t="s">
        <v>22</v>
      </c>
      <c r="N791" t="s">
        <v>52</v>
      </c>
      <c r="O791" s="2">
        <f>_Salesdata[[#This Row],[Unit_Price]] * _Salesdata[[#This Row],[Quantity_Sold]]</f>
        <v>142873.84999999966</v>
      </c>
      <c r="P791" s="2">
        <f>_Salesdata[[#This Row],[Unit_Cost]] * _Salesdata[[#This Row],[Quantity_Sold]]</f>
        <v>137404.75</v>
      </c>
      <c r="Q791" s="2">
        <f>_Salesdata[[#This Row],[Gross_Sales]] - _Salesdata[[#This Row],[Total Cost]]</f>
        <v>5469.0999999996566</v>
      </c>
      <c r="R791" s="2"/>
    </row>
    <row r="792" spans="1:18" x14ac:dyDescent="0.25">
      <c r="A792">
        <v>1030</v>
      </c>
      <c r="B792" s="1">
        <v>45090</v>
      </c>
      <c r="C792" t="s">
        <v>35</v>
      </c>
      <c r="D792" t="s">
        <v>25</v>
      </c>
      <c r="E792" s="2">
        <v>4478.71</v>
      </c>
      <c r="F792">
        <v>5</v>
      </c>
      <c r="G792" t="s">
        <v>19</v>
      </c>
      <c r="H792" s="2">
        <v>3932.14</v>
      </c>
      <c r="I792" s="2">
        <v>4082.7599999999902</v>
      </c>
      <c r="J792" t="s">
        <v>27</v>
      </c>
      <c r="K792">
        <v>0.26</v>
      </c>
      <c r="L792" t="s">
        <v>28</v>
      </c>
      <c r="M792" t="s">
        <v>22</v>
      </c>
      <c r="N792" t="s">
        <v>56</v>
      </c>
      <c r="O792" s="2">
        <f>_Salesdata[[#This Row],[Unit_Price]] * _Salesdata[[#This Row],[Quantity_Sold]]</f>
        <v>20413.799999999952</v>
      </c>
      <c r="P792" s="2">
        <f>_Salesdata[[#This Row],[Unit_Cost]] * _Salesdata[[#This Row],[Quantity_Sold]]</f>
        <v>19660.7</v>
      </c>
      <c r="Q792" s="2">
        <f>_Salesdata[[#This Row],[Gross_Sales]] - _Salesdata[[#This Row],[Total Cost]]</f>
        <v>753.09999999995125</v>
      </c>
      <c r="R792" s="2"/>
    </row>
    <row r="793" spans="1:18" x14ac:dyDescent="0.25">
      <c r="A793">
        <v>1092</v>
      </c>
      <c r="B793" s="1">
        <v>45244</v>
      </c>
      <c r="C793" t="s">
        <v>48</v>
      </c>
      <c r="D793" t="s">
        <v>18</v>
      </c>
      <c r="E793" s="2">
        <v>6528.29</v>
      </c>
      <c r="F793">
        <v>28</v>
      </c>
      <c r="G793" t="s">
        <v>19</v>
      </c>
      <c r="H793" s="2">
        <v>3936.69</v>
      </c>
      <c r="I793" s="2">
        <v>4362.51</v>
      </c>
      <c r="J793" t="s">
        <v>20</v>
      </c>
      <c r="K793">
        <v>7.0000000000000007E-2</v>
      </c>
      <c r="L793" t="s">
        <v>28</v>
      </c>
      <c r="M793" t="s">
        <v>32</v>
      </c>
      <c r="N793" t="s">
        <v>54</v>
      </c>
      <c r="O793" s="2">
        <f>_Salesdata[[#This Row],[Unit_Price]] * _Salesdata[[#This Row],[Quantity_Sold]]</f>
        <v>122150.28</v>
      </c>
      <c r="P793" s="2">
        <f>_Salesdata[[#This Row],[Unit_Cost]] * _Salesdata[[#This Row],[Quantity_Sold]]</f>
        <v>110227.32</v>
      </c>
      <c r="Q793" s="2">
        <f>_Salesdata[[#This Row],[Gross_Sales]] - _Salesdata[[#This Row],[Total Cost]]</f>
        <v>11922.959999999992</v>
      </c>
      <c r="R793" s="2"/>
    </row>
    <row r="794" spans="1:18" x14ac:dyDescent="0.25">
      <c r="A794">
        <v>1071</v>
      </c>
      <c r="B794" s="1">
        <v>45236</v>
      </c>
      <c r="C794" t="s">
        <v>30</v>
      </c>
      <c r="D794" t="s">
        <v>37</v>
      </c>
      <c r="E794" s="2">
        <v>7262.09</v>
      </c>
      <c r="F794">
        <v>47</v>
      </c>
      <c r="G794" t="s">
        <v>31</v>
      </c>
      <c r="H794" s="2">
        <v>3942.34</v>
      </c>
      <c r="I794" s="2">
        <v>4142.09</v>
      </c>
      <c r="J794" t="s">
        <v>20</v>
      </c>
      <c r="K794">
        <v>0.03</v>
      </c>
      <c r="L794" t="s">
        <v>28</v>
      </c>
      <c r="M794" t="s">
        <v>32</v>
      </c>
      <c r="N794" t="s">
        <v>51</v>
      </c>
      <c r="O794" s="2">
        <f>_Salesdata[[#This Row],[Unit_Price]] * _Salesdata[[#This Row],[Quantity_Sold]]</f>
        <v>194678.23</v>
      </c>
      <c r="P794" s="2">
        <f>_Salesdata[[#This Row],[Unit_Cost]] * _Salesdata[[#This Row],[Quantity_Sold]]</f>
        <v>185289.98</v>
      </c>
      <c r="Q794" s="2">
        <f>_Salesdata[[#This Row],[Gross_Sales]] - _Salesdata[[#This Row],[Total Cost]]</f>
        <v>9388.25</v>
      </c>
      <c r="R794" s="2"/>
    </row>
    <row r="795" spans="1:18" x14ac:dyDescent="0.25">
      <c r="A795">
        <v>1091</v>
      </c>
      <c r="B795" s="1">
        <v>45029</v>
      </c>
      <c r="C795" t="s">
        <v>48</v>
      </c>
      <c r="D795" t="s">
        <v>25</v>
      </c>
      <c r="E795" s="2">
        <v>9146.51</v>
      </c>
      <c r="F795">
        <v>36</v>
      </c>
      <c r="G795" t="s">
        <v>26</v>
      </c>
      <c r="H795" s="2">
        <v>3951.59</v>
      </c>
      <c r="I795" s="2">
        <v>4387.01</v>
      </c>
      <c r="J795" t="s">
        <v>27</v>
      </c>
      <c r="K795">
        <v>7.0000000000000007E-2</v>
      </c>
      <c r="L795" t="s">
        <v>44</v>
      </c>
      <c r="M795" t="s">
        <v>32</v>
      </c>
      <c r="N795" t="s">
        <v>49</v>
      </c>
      <c r="O795" s="2">
        <f>_Salesdata[[#This Row],[Unit_Price]] * _Salesdata[[#This Row],[Quantity_Sold]]</f>
        <v>157932.36000000002</v>
      </c>
      <c r="P795" s="2">
        <f>_Salesdata[[#This Row],[Unit_Cost]] * _Salesdata[[#This Row],[Quantity_Sold]]</f>
        <v>142257.24</v>
      </c>
      <c r="Q795" s="2">
        <f>_Salesdata[[#This Row],[Gross_Sales]] - _Salesdata[[#This Row],[Total Cost]]</f>
        <v>15675.120000000024</v>
      </c>
      <c r="R795" s="2"/>
    </row>
    <row r="796" spans="1:18" x14ac:dyDescent="0.25">
      <c r="A796">
        <v>1097</v>
      </c>
      <c r="B796" s="1">
        <v>44958</v>
      </c>
      <c r="C796" t="s">
        <v>24</v>
      </c>
      <c r="D796" t="s">
        <v>25</v>
      </c>
      <c r="E796" s="2">
        <v>1099.68</v>
      </c>
      <c r="F796">
        <v>27</v>
      </c>
      <c r="G796" t="s">
        <v>26</v>
      </c>
      <c r="H796" s="2">
        <v>3955.19</v>
      </c>
      <c r="I796" s="2">
        <v>4393.68</v>
      </c>
      <c r="J796" t="s">
        <v>20</v>
      </c>
      <c r="K796">
        <v>0.04</v>
      </c>
      <c r="L796" t="s">
        <v>28</v>
      </c>
      <c r="M796" t="s">
        <v>22</v>
      </c>
      <c r="N796" t="s">
        <v>29</v>
      </c>
      <c r="O796" s="2">
        <f>_Salesdata[[#This Row],[Unit_Price]] * _Salesdata[[#This Row],[Quantity_Sold]]</f>
        <v>118629.36000000002</v>
      </c>
      <c r="P796" s="2">
        <f>_Salesdata[[#This Row],[Unit_Cost]] * _Salesdata[[#This Row],[Quantity_Sold]]</f>
        <v>106790.13</v>
      </c>
      <c r="Q796" s="2">
        <f>_Salesdata[[#This Row],[Gross_Sales]] - _Salesdata[[#This Row],[Total Cost]]</f>
        <v>11839.23000000001</v>
      </c>
      <c r="R796" s="2"/>
    </row>
    <row r="797" spans="1:18" x14ac:dyDescent="0.25">
      <c r="A797">
        <v>1096</v>
      </c>
      <c r="B797" s="1">
        <v>45136</v>
      </c>
      <c r="C797" t="s">
        <v>35</v>
      </c>
      <c r="D797" t="s">
        <v>25</v>
      </c>
      <c r="E797" s="2">
        <v>485.41</v>
      </c>
      <c r="F797">
        <v>38</v>
      </c>
      <c r="G797" t="s">
        <v>26</v>
      </c>
      <c r="H797" s="2">
        <v>3955.66</v>
      </c>
      <c r="I797" s="2">
        <v>4270.59</v>
      </c>
      <c r="J797" t="s">
        <v>20</v>
      </c>
      <c r="K797">
        <v>0.15</v>
      </c>
      <c r="L797" t="s">
        <v>28</v>
      </c>
      <c r="M797" t="s">
        <v>22</v>
      </c>
      <c r="N797" t="s">
        <v>56</v>
      </c>
      <c r="O797" s="2">
        <f>_Salesdata[[#This Row],[Unit_Price]] * _Salesdata[[#This Row],[Quantity_Sold]]</f>
        <v>162282.42000000001</v>
      </c>
      <c r="P797" s="2">
        <f>_Salesdata[[#This Row],[Unit_Cost]] * _Salesdata[[#This Row],[Quantity_Sold]]</f>
        <v>150315.07999999999</v>
      </c>
      <c r="Q797" s="2">
        <f>_Salesdata[[#This Row],[Gross_Sales]] - _Salesdata[[#This Row],[Total Cost]]</f>
        <v>11967.340000000026</v>
      </c>
      <c r="R797" s="2"/>
    </row>
    <row r="798" spans="1:18" x14ac:dyDescent="0.25">
      <c r="A798">
        <v>1028</v>
      </c>
      <c r="B798" s="1">
        <v>45150</v>
      </c>
      <c r="C798" t="s">
        <v>35</v>
      </c>
      <c r="D798" t="s">
        <v>40</v>
      </c>
      <c r="E798" s="2">
        <v>2490.8200000000002</v>
      </c>
      <c r="F798">
        <v>41</v>
      </c>
      <c r="G798" t="s">
        <v>19</v>
      </c>
      <c r="H798" s="2">
        <v>3956.03</v>
      </c>
      <c r="I798" s="2">
        <v>4163.68</v>
      </c>
      <c r="J798" t="s">
        <v>27</v>
      </c>
      <c r="K798">
        <v>0.12</v>
      </c>
      <c r="L798" t="s">
        <v>44</v>
      </c>
      <c r="M798" t="s">
        <v>32</v>
      </c>
      <c r="N798" t="s">
        <v>43</v>
      </c>
      <c r="O798" s="2">
        <f>_Salesdata[[#This Row],[Unit_Price]] * _Salesdata[[#This Row],[Quantity_Sold]]</f>
        <v>170710.88</v>
      </c>
      <c r="P798" s="2">
        <f>_Salesdata[[#This Row],[Unit_Cost]] * _Salesdata[[#This Row],[Quantity_Sold]]</f>
        <v>162197.23000000001</v>
      </c>
      <c r="Q798" s="2">
        <f>_Salesdata[[#This Row],[Gross_Sales]] - _Salesdata[[#This Row],[Total Cost]]</f>
        <v>8513.6499999999942</v>
      </c>
      <c r="R798" s="2"/>
    </row>
    <row r="799" spans="1:18" x14ac:dyDescent="0.25">
      <c r="A799">
        <v>1047</v>
      </c>
      <c r="B799" s="1">
        <v>45030</v>
      </c>
      <c r="C799" t="s">
        <v>48</v>
      </c>
      <c r="D799" t="s">
        <v>25</v>
      </c>
      <c r="E799" s="2">
        <v>7146.06</v>
      </c>
      <c r="F799">
        <v>16</v>
      </c>
      <c r="G799" t="s">
        <v>19</v>
      </c>
      <c r="H799" s="2">
        <v>3966.86</v>
      </c>
      <c r="I799" s="2">
        <v>4321.04</v>
      </c>
      <c r="J799" t="s">
        <v>20</v>
      </c>
      <c r="K799">
        <v>0.23</v>
      </c>
      <c r="L799" t="s">
        <v>28</v>
      </c>
      <c r="M799" t="s">
        <v>32</v>
      </c>
      <c r="N799" t="s">
        <v>49</v>
      </c>
      <c r="O799" s="2">
        <f>_Salesdata[[#This Row],[Unit_Price]] * _Salesdata[[#This Row],[Quantity_Sold]]</f>
        <v>69136.639999999999</v>
      </c>
      <c r="P799" s="2">
        <f>_Salesdata[[#This Row],[Unit_Cost]] * _Salesdata[[#This Row],[Quantity_Sold]]</f>
        <v>63469.760000000002</v>
      </c>
      <c r="Q799" s="2">
        <f>_Salesdata[[#This Row],[Gross_Sales]] - _Salesdata[[#This Row],[Total Cost]]</f>
        <v>5666.8799999999974</v>
      </c>
      <c r="R799" s="2"/>
    </row>
    <row r="800" spans="1:18" x14ac:dyDescent="0.25">
      <c r="A800">
        <v>1007</v>
      </c>
      <c r="B800" s="1">
        <v>44985</v>
      </c>
      <c r="C800" t="s">
        <v>35</v>
      </c>
      <c r="D800" t="s">
        <v>18</v>
      </c>
      <c r="E800" s="2">
        <v>1833.72</v>
      </c>
      <c r="F800">
        <v>43</v>
      </c>
      <c r="G800" t="s">
        <v>39</v>
      </c>
      <c r="H800" s="2">
        <v>3967.25</v>
      </c>
      <c r="I800" s="2">
        <v>4272.92</v>
      </c>
      <c r="J800" t="s">
        <v>27</v>
      </c>
      <c r="K800">
        <v>0.27</v>
      </c>
      <c r="L800" t="s">
        <v>28</v>
      </c>
      <c r="M800" t="s">
        <v>22</v>
      </c>
      <c r="N800" t="s">
        <v>36</v>
      </c>
      <c r="O800" s="2">
        <f>_Salesdata[[#This Row],[Unit_Price]] * _Salesdata[[#This Row],[Quantity_Sold]]</f>
        <v>183735.56</v>
      </c>
      <c r="P800" s="2">
        <f>_Salesdata[[#This Row],[Unit_Cost]] * _Salesdata[[#This Row],[Quantity_Sold]]</f>
        <v>170591.75</v>
      </c>
      <c r="Q800" s="2">
        <f>_Salesdata[[#This Row],[Gross_Sales]] - _Salesdata[[#This Row],[Total Cost]]</f>
        <v>13143.809999999998</v>
      </c>
      <c r="R800" s="2"/>
    </row>
    <row r="801" spans="1:18" x14ac:dyDescent="0.25">
      <c r="A801">
        <v>1096</v>
      </c>
      <c r="B801" s="1">
        <v>45140</v>
      </c>
      <c r="C801" t="s">
        <v>17</v>
      </c>
      <c r="D801" t="s">
        <v>37</v>
      </c>
      <c r="E801" s="2">
        <v>4815.72</v>
      </c>
      <c r="F801">
        <v>30</v>
      </c>
      <c r="G801" t="s">
        <v>26</v>
      </c>
      <c r="H801" s="2">
        <v>3969.86</v>
      </c>
      <c r="I801" s="2">
        <v>4281.79</v>
      </c>
      <c r="J801" t="s">
        <v>20</v>
      </c>
      <c r="K801">
        <v>0.08</v>
      </c>
      <c r="L801" t="s">
        <v>44</v>
      </c>
      <c r="M801" t="s">
        <v>32</v>
      </c>
      <c r="N801" t="s">
        <v>47</v>
      </c>
      <c r="O801" s="2">
        <f>_Salesdata[[#This Row],[Unit_Price]] * _Salesdata[[#This Row],[Quantity_Sold]]</f>
        <v>128453.7</v>
      </c>
      <c r="P801" s="2">
        <f>_Salesdata[[#This Row],[Unit_Cost]] * _Salesdata[[#This Row],[Quantity_Sold]]</f>
        <v>119095.8</v>
      </c>
      <c r="Q801" s="2">
        <f>_Salesdata[[#This Row],[Gross_Sales]] - _Salesdata[[#This Row],[Total Cost]]</f>
        <v>9357.8999999999942</v>
      </c>
      <c r="R801" s="2"/>
    </row>
    <row r="802" spans="1:18" x14ac:dyDescent="0.25">
      <c r="A802">
        <v>1060</v>
      </c>
      <c r="B802" s="1">
        <v>45150</v>
      </c>
      <c r="C802" t="s">
        <v>30</v>
      </c>
      <c r="D802" t="s">
        <v>37</v>
      </c>
      <c r="E802" s="2">
        <v>1756.48</v>
      </c>
      <c r="F802">
        <v>5</v>
      </c>
      <c r="G802" t="s">
        <v>39</v>
      </c>
      <c r="H802" s="2">
        <v>3970.08</v>
      </c>
      <c r="I802" s="2">
        <v>4096.4799999999996</v>
      </c>
      <c r="J802" t="s">
        <v>20</v>
      </c>
      <c r="K802">
        <v>0.13</v>
      </c>
      <c r="L802" t="s">
        <v>21</v>
      </c>
      <c r="M802" t="s">
        <v>32</v>
      </c>
      <c r="N802" t="s">
        <v>51</v>
      </c>
      <c r="O802" s="2">
        <f>_Salesdata[[#This Row],[Unit_Price]] * _Salesdata[[#This Row],[Quantity_Sold]]</f>
        <v>20482.399999999998</v>
      </c>
      <c r="P802" s="2">
        <f>_Salesdata[[#This Row],[Unit_Cost]] * _Salesdata[[#This Row],[Quantity_Sold]]</f>
        <v>19850.400000000001</v>
      </c>
      <c r="Q802" s="2">
        <f>_Salesdata[[#This Row],[Gross_Sales]] - _Salesdata[[#This Row],[Total Cost]]</f>
        <v>631.99999999999636</v>
      </c>
      <c r="R802" s="2"/>
    </row>
    <row r="803" spans="1:18" x14ac:dyDescent="0.25">
      <c r="A803">
        <v>1051</v>
      </c>
      <c r="B803" s="1">
        <v>45256</v>
      </c>
      <c r="C803" t="s">
        <v>48</v>
      </c>
      <c r="D803" t="s">
        <v>40</v>
      </c>
      <c r="E803" s="2">
        <v>6339.45</v>
      </c>
      <c r="F803">
        <v>8</v>
      </c>
      <c r="G803" t="s">
        <v>31</v>
      </c>
      <c r="H803" s="2">
        <v>3970.37</v>
      </c>
      <c r="I803" s="2">
        <v>4257.5199999999904</v>
      </c>
      <c r="J803" t="s">
        <v>27</v>
      </c>
      <c r="K803">
        <v>0.11</v>
      </c>
      <c r="L803" t="s">
        <v>21</v>
      </c>
      <c r="M803" t="s">
        <v>32</v>
      </c>
      <c r="N803" t="s">
        <v>50</v>
      </c>
      <c r="O803" s="2">
        <f>_Salesdata[[#This Row],[Unit_Price]] * _Salesdata[[#This Row],[Quantity_Sold]]</f>
        <v>34060.159999999923</v>
      </c>
      <c r="P803" s="2">
        <f>_Salesdata[[#This Row],[Unit_Cost]] * _Salesdata[[#This Row],[Quantity_Sold]]</f>
        <v>31762.959999999999</v>
      </c>
      <c r="Q803" s="2">
        <f>_Salesdata[[#This Row],[Gross_Sales]] - _Salesdata[[#This Row],[Total Cost]]</f>
        <v>2297.1999999999243</v>
      </c>
      <c r="R803" s="2"/>
    </row>
    <row r="804" spans="1:18" x14ac:dyDescent="0.25">
      <c r="A804">
        <v>1060</v>
      </c>
      <c r="B804" s="1">
        <v>45155</v>
      </c>
      <c r="C804" t="s">
        <v>17</v>
      </c>
      <c r="D804" t="s">
        <v>18</v>
      </c>
      <c r="E804" s="2">
        <v>8371.25</v>
      </c>
      <c r="F804">
        <v>16</v>
      </c>
      <c r="G804" t="s">
        <v>19</v>
      </c>
      <c r="H804" s="2">
        <v>3975.99</v>
      </c>
      <c r="I804" s="2">
        <v>4422.59</v>
      </c>
      <c r="J804" t="s">
        <v>27</v>
      </c>
      <c r="K804">
        <v>0.24</v>
      </c>
      <c r="L804" t="s">
        <v>21</v>
      </c>
      <c r="M804" t="s">
        <v>22</v>
      </c>
      <c r="N804" t="s">
        <v>23</v>
      </c>
      <c r="O804" s="2">
        <f>_Salesdata[[#This Row],[Unit_Price]] * _Salesdata[[#This Row],[Quantity_Sold]]</f>
        <v>70761.440000000002</v>
      </c>
      <c r="P804" s="2">
        <f>_Salesdata[[#This Row],[Unit_Cost]] * _Salesdata[[#This Row],[Quantity_Sold]]</f>
        <v>63615.839999999997</v>
      </c>
      <c r="Q804" s="2">
        <f>_Salesdata[[#This Row],[Gross_Sales]] - _Salesdata[[#This Row],[Total Cost]]</f>
        <v>7145.6000000000058</v>
      </c>
      <c r="R804" s="2"/>
    </row>
    <row r="805" spans="1:18" x14ac:dyDescent="0.25">
      <c r="A805">
        <v>1004</v>
      </c>
      <c r="B805" s="1">
        <v>45063</v>
      </c>
      <c r="C805" t="s">
        <v>24</v>
      </c>
      <c r="D805" t="s">
        <v>37</v>
      </c>
      <c r="E805" s="2">
        <v>5198.5600000000004</v>
      </c>
      <c r="F805">
        <v>36</v>
      </c>
      <c r="G805" t="s">
        <v>31</v>
      </c>
      <c r="H805" s="2">
        <v>3981.2</v>
      </c>
      <c r="I805" s="2">
        <v>4432.3499999999904</v>
      </c>
      <c r="J805" t="s">
        <v>27</v>
      </c>
      <c r="K805">
        <v>0.14000000000000001</v>
      </c>
      <c r="L805" t="s">
        <v>21</v>
      </c>
      <c r="M805" t="s">
        <v>22</v>
      </c>
      <c r="N805" t="s">
        <v>53</v>
      </c>
      <c r="O805" s="2">
        <f>_Salesdata[[#This Row],[Unit_Price]] * _Salesdata[[#This Row],[Quantity_Sold]]</f>
        <v>159564.59999999966</v>
      </c>
      <c r="P805" s="2">
        <f>_Salesdata[[#This Row],[Unit_Cost]] * _Salesdata[[#This Row],[Quantity_Sold]]</f>
        <v>143323.19999999998</v>
      </c>
      <c r="Q805" s="2">
        <f>_Salesdata[[#This Row],[Gross_Sales]] - _Salesdata[[#This Row],[Total Cost]]</f>
        <v>16241.399999999674</v>
      </c>
      <c r="R805" s="2"/>
    </row>
    <row r="806" spans="1:18" x14ac:dyDescent="0.25">
      <c r="A806">
        <v>1087</v>
      </c>
      <c r="B806" s="1">
        <v>45060</v>
      </c>
      <c r="C806" t="s">
        <v>35</v>
      </c>
      <c r="D806" t="s">
        <v>25</v>
      </c>
      <c r="E806" s="2">
        <v>9472.66</v>
      </c>
      <c r="F806">
        <v>10</v>
      </c>
      <c r="G806" t="s">
        <v>26</v>
      </c>
      <c r="H806" s="2">
        <v>3988.52</v>
      </c>
      <c r="I806" s="2">
        <v>4240.2299999999996</v>
      </c>
      <c r="J806" t="s">
        <v>27</v>
      </c>
      <c r="K806">
        <v>0.05</v>
      </c>
      <c r="L806" t="s">
        <v>28</v>
      </c>
      <c r="M806" t="s">
        <v>22</v>
      </c>
      <c r="N806" t="s">
        <v>56</v>
      </c>
      <c r="O806" s="2">
        <f>_Salesdata[[#This Row],[Unit_Price]] * _Salesdata[[#This Row],[Quantity_Sold]]</f>
        <v>42402.299999999996</v>
      </c>
      <c r="P806" s="2">
        <f>_Salesdata[[#This Row],[Unit_Cost]] * _Salesdata[[#This Row],[Quantity_Sold]]</f>
        <v>39885.199999999997</v>
      </c>
      <c r="Q806" s="2">
        <f>_Salesdata[[#This Row],[Gross_Sales]] - _Salesdata[[#This Row],[Total Cost]]</f>
        <v>2517.0999999999985</v>
      </c>
      <c r="R806" s="2"/>
    </row>
    <row r="807" spans="1:18" x14ac:dyDescent="0.25">
      <c r="A807">
        <v>1035</v>
      </c>
      <c r="B807" s="1">
        <v>45151</v>
      </c>
      <c r="C807" t="s">
        <v>24</v>
      </c>
      <c r="D807" t="s">
        <v>25</v>
      </c>
      <c r="E807" s="2">
        <v>2049.56</v>
      </c>
      <c r="F807">
        <v>5</v>
      </c>
      <c r="G807" t="s">
        <v>19</v>
      </c>
      <c r="H807" s="2">
        <v>3991.69</v>
      </c>
      <c r="I807" s="2">
        <v>4454.97</v>
      </c>
      <c r="J807" t="s">
        <v>27</v>
      </c>
      <c r="K807">
        <v>0.14000000000000001</v>
      </c>
      <c r="L807" t="s">
        <v>28</v>
      </c>
      <c r="M807" t="s">
        <v>32</v>
      </c>
      <c r="N807" t="s">
        <v>29</v>
      </c>
      <c r="O807" s="2">
        <f>_Salesdata[[#This Row],[Unit_Price]] * _Salesdata[[#This Row],[Quantity_Sold]]</f>
        <v>22274.850000000002</v>
      </c>
      <c r="P807" s="2">
        <f>_Salesdata[[#This Row],[Unit_Cost]] * _Salesdata[[#This Row],[Quantity_Sold]]</f>
        <v>19958.45</v>
      </c>
      <c r="Q807" s="2">
        <f>_Salesdata[[#This Row],[Gross_Sales]] - _Salesdata[[#This Row],[Total Cost]]</f>
        <v>2316.4000000000015</v>
      </c>
      <c r="R807" s="2"/>
    </row>
    <row r="808" spans="1:18" x14ac:dyDescent="0.25">
      <c r="A808">
        <v>1026</v>
      </c>
      <c r="B808" s="1">
        <v>45022</v>
      </c>
      <c r="C808" t="s">
        <v>17</v>
      </c>
      <c r="D808" t="s">
        <v>40</v>
      </c>
      <c r="E808" s="2">
        <v>927.19</v>
      </c>
      <c r="F808">
        <v>4</v>
      </c>
      <c r="G808" t="s">
        <v>26</v>
      </c>
      <c r="H808" s="2">
        <v>3993.39</v>
      </c>
      <c r="I808" s="2">
        <v>4288.3</v>
      </c>
      <c r="J808" t="s">
        <v>27</v>
      </c>
      <c r="K808">
        <v>0.13</v>
      </c>
      <c r="L808" t="s">
        <v>28</v>
      </c>
      <c r="M808" t="s">
        <v>22</v>
      </c>
      <c r="N808" t="s">
        <v>42</v>
      </c>
      <c r="O808" s="2">
        <f>_Salesdata[[#This Row],[Unit_Price]] * _Salesdata[[#This Row],[Quantity_Sold]]</f>
        <v>17153.2</v>
      </c>
      <c r="P808" s="2">
        <f>_Salesdata[[#This Row],[Unit_Cost]] * _Salesdata[[#This Row],[Quantity_Sold]]</f>
        <v>15973.56</v>
      </c>
      <c r="Q808" s="2">
        <f>_Salesdata[[#This Row],[Gross_Sales]] - _Salesdata[[#This Row],[Total Cost]]</f>
        <v>1179.6400000000012</v>
      </c>
      <c r="R808" s="2"/>
    </row>
    <row r="809" spans="1:18" x14ac:dyDescent="0.25">
      <c r="A809">
        <v>1063</v>
      </c>
      <c r="B809" s="1">
        <v>45099</v>
      </c>
      <c r="C809" t="s">
        <v>17</v>
      </c>
      <c r="D809" t="s">
        <v>40</v>
      </c>
      <c r="E809" s="2">
        <v>5917.1</v>
      </c>
      <c r="F809">
        <v>25</v>
      </c>
      <c r="G809" t="s">
        <v>26</v>
      </c>
      <c r="H809" s="2">
        <v>3997.1</v>
      </c>
      <c r="I809" s="2">
        <v>4212.6499999999996</v>
      </c>
      <c r="J809" t="s">
        <v>27</v>
      </c>
      <c r="K809">
        <v>0.22</v>
      </c>
      <c r="L809" t="s">
        <v>21</v>
      </c>
      <c r="M809" t="s">
        <v>22</v>
      </c>
      <c r="N809" t="s">
        <v>42</v>
      </c>
      <c r="O809" s="2">
        <f>_Salesdata[[#This Row],[Unit_Price]] * _Salesdata[[#This Row],[Quantity_Sold]]</f>
        <v>105316.24999999999</v>
      </c>
      <c r="P809" s="2">
        <f>_Salesdata[[#This Row],[Unit_Cost]] * _Salesdata[[#This Row],[Quantity_Sold]]</f>
        <v>99927.5</v>
      </c>
      <c r="Q809" s="2">
        <f>_Salesdata[[#This Row],[Gross_Sales]] - _Salesdata[[#This Row],[Total Cost]]</f>
        <v>5388.7499999999854</v>
      </c>
      <c r="R809" s="2"/>
    </row>
    <row r="810" spans="1:18" x14ac:dyDescent="0.25">
      <c r="A810">
        <v>1022</v>
      </c>
      <c r="B810" s="1">
        <v>45014</v>
      </c>
      <c r="C810" t="s">
        <v>17</v>
      </c>
      <c r="D810" t="s">
        <v>25</v>
      </c>
      <c r="E810" s="2">
        <v>8640.14</v>
      </c>
      <c r="F810">
        <v>45</v>
      </c>
      <c r="G810" t="s">
        <v>39</v>
      </c>
      <c r="H810" s="2">
        <v>4020.09</v>
      </c>
      <c r="I810" s="2">
        <v>4087.91</v>
      </c>
      <c r="J810" t="s">
        <v>20</v>
      </c>
      <c r="K810">
        <v>0.06</v>
      </c>
      <c r="L810" t="s">
        <v>44</v>
      </c>
      <c r="M810" t="s">
        <v>22</v>
      </c>
      <c r="N810" t="s">
        <v>34</v>
      </c>
      <c r="O810" s="2">
        <f>_Salesdata[[#This Row],[Unit_Price]] * _Salesdata[[#This Row],[Quantity_Sold]]</f>
        <v>183955.94999999998</v>
      </c>
      <c r="P810" s="2">
        <f>_Salesdata[[#This Row],[Unit_Cost]] * _Salesdata[[#This Row],[Quantity_Sold]]</f>
        <v>180904.05000000002</v>
      </c>
      <c r="Q810" s="2">
        <f>_Salesdata[[#This Row],[Gross_Sales]] - _Salesdata[[#This Row],[Total Cost]]</f>
        <v>3051.8999999999651</v>
      </c>
      <c r="R810" s="2"/>
    </row>
    <row r="811" spans="1:18" x14ac:dyDescent="0.25">
      <c r="A811">
        <v>1002</v>
      </c>
      <c r="B811" s="1">
        <v>45076</v>
      </c>
      <c r="C811" t="s">
        <v>30</v>
      </c>
      <c r="D811" t="s">
        <v>37</v>
      </c>
      <c r="E811" s="2">
        <v>6810.35</v>
      </c>
      <c r="F811">
        <v>17</v>
      </c>
      <c r="G811" t="s">
        <v>39</v>
      </c>
      <c r="H811" s="2">
        <v>4024.76</v>
      </c>
      <c r="I811" s="2">
        <v>4420.1499999999996</v>
      </c>
      <c r="J811" t="s">
        <v>20</v>
      </c>
      <c r="K811">
        <v>0.04</v>
      </c>
      <c r="L811" t="s">
        <v>21</v>
      </c>
      <c r="M811" t="s">
        <v>22</v>
      </c>
      <c r="N811" t="s">
        <v>51</v>
      </c>
      <c r="O811" s="2">
        <f>_Salesdata[[#This Row],[Unit_Price]] * _Salesdata[[#This Row],[Quantity_Sold]]</f>
        <v>75142.549999999988</v>
      </c>
      <c r="P811" s="2">
        <f>_Salesdata[[#This Row],[Unit_Cost]] * _Salesdata[[#This Row],[Quantity_Sold]]</f>
        <v>68420.92</v>
      </c>
      <c r="Q811" s="2">
        <f>_Salesdata[[#This Row],[Gross_Sales]] - _Salesdata[[#This Row],[Total Cost]]</f>
        <v>6721.6299999999901</v>
      </c>
      <c r="R811" s="2"/>
    </row>
    <row r="812" spans="1:18" x14ac:dyDescent="0.25">
      <c r="A812">
        <v>1080</v>
      </c>
      <c r="B812" s="1">
        <v>44943</v>
      </c>
      <c r="C812" t="s">
        <v>17</v>
      </c>
      <c r="D812" t="s">
        <v>40</v>
      </c>
      <c r="E812" s="2">
        <v>4224</v>
      </c>
      <c r="F812">
        <v>47</v>
      </c>
      <c r="G812" t="s">
        <v>39</v>
      </c>
      <c r="H812" s="2">
        <v>4035.33</v>
      </c>
      <c r="I812" s="2">
        <v>4211.25</v>
      </c>
      <c r="J812" t="s">
        <v>20</v>
      </c>
      <c r="K812">
        <v>7.0000000000000007E-2</v>
      </c>
      <c r="L812" t="s">
        <v>44</v>
      </c>
      <c r="M812" t="s">
        <v>22</v>
      </c>
      <c r="N812" t="s">
        <v>42</v>
      </c>
      <c r="O812" s="2">
        <f>_Salesdata[[#This Row],[Unit_Price]] * _Salesdata[[#This Row],[Quantity_Sold]]</f>
        <v>197928.75</v>
      </c>
      <c r="P812" s="2">
        <f>_Salesdata[[#This Row],[Unit_Cost]] * _Salesdata[[#This Row],[Quantity_Sold]]</f>
        <v>189660.51</v>
      </c>
      <c r="Q812" s="2">
        <f>_Salesdata[[#This Row],[Gross_Sales]] - _Salesdata[[#This Row],[Total Cost]]</f>
        <v>8268.2399999999907</v>
      </c>
      <c r="R812" s="2"/>
    </row>
    <row r="813" spans="1:18" x14ac:dyDescent="0.25">
      <c r="A813">
        <v>1090</v>
      </c>
      <c r="B813" s="1">
        <v>44930</v>
      </c>
      <c r="C813" t="s">
        <v>48</v>
      </c>
      <c r="D813" t="s">
        <v>37</v>
      </c>
      <c r="E813" s="2">
        <v>1028.3900000000001</v>
      </c>
      <c r="F813">
        <v>14</v>
      </c>
      <c r="G813" t="s">
        <v>39</v>
      </c>
      <c r="H813" s="2">
        <v>4037.21</v>
      </c>
      <c r="I813" s="2">
        <v>4323.71</v>
      </c>
      <c r="J813" t="s">
        <v>20</v>
      </c>
      <c r="K813">
        <v>0.27</v>
      </c>
      <c r="L813" t="s">
        <v>28</v>
      </c>
      <c r="M813" t="s">
        <v>22</v>
      </c>
      <c r="N813" t="s">
        <v>52</v>
      </c>
      <c r="O813" s="2">
        <f>_Salesdata[[#This Row],[Unit_Price]] * _Salesdata[[#This Row],[Quantity_Sold]]</f>
        <v>60531.94</v>
      </c>
      <c r="P813" s="2">
        <f>_Salesdata[[#This Row],[Unit_Cost]] * _Salesdata[[#This Row],[Quantity_Sold]]</f>
        <v>56520.94</v>
      </c>
      <c r="Q813" s="2">
        <f>_Salesdata[[#This Row],[Gross_Sales]] - _Salesdata[[#This Row],[Total Cost]]</f>
        <v>4011</v>
      </c>
      <c r="R813" s="2"/>
    </row>
    <row r="814" spans="1:18" x14ac:dyDescent="0.25">
      <c r="A814">
        <v>1036</v>
      </c>
      <c r="B814" s="1">
        <v>45044</v>
      </c>
      <c r="C814" t="s">
        <v>35</v>
      </c>
      <c r="D814" t="s">
        <v>25</v>
      </c>
      <c r="E814" s="2">
        <v>7739.11</v>
      </c>
      <c r="F814">
        <v>25</v>
      </c>
      <c r="G814" t="s">
        <v>39</v>
      </c>
      <c r="H814" s="2">
        <v>4037.73</v>
      </c>
      <c r="I814" s="2">
        <v>4446.45</v>
      </c>
      <c r="J814" t="s">
        <v>20</v>
      </c>
      <c r="K814">
        <v>0.09</v>
      </c>
      <c r="L814" t="s">
        <v>44</v>
      </c>
      <c r="M814" t="s">
        <v>22</v>
      </c>
      <c r="N814" t="s">
        <v>56</v>
      </c>
      <c r="O814" s="2">
        <f>_Salesdata[[#This Row],[Unit_Price]] * _Salesdata[[#This Row],[Quantity_Sold]]</f>
        <v>111161.25</v>
      </c>
      <c r="P814" s="2">
        <f>_Salesdata[[#This Row],[Unit_Cost]] * _Salesdata[[#This Row],[Quantity_Sold]]</f>
        <v>100943.25</v>
      </c>
      <c r="Q814" s="2">
        <f>_Salesdata[[#This Row],[Gross_Sales]] - _Salesdata[[#This Row],[Total Cost]]</f>
        <v>10218</v>
      </c>
      <c r="R814" s="2"/>
    </row>
    <row r="815" spans="1:18" x14ac:dyDescent="0.25">
      <c r="A815">
        <v>1047</v>
      </c>
      <c r="B815" s="1">
        <v>45117</v>
      </c>
      <c r="C815" t="s">
        <v>30</v>
      </c>
      <c r="D815" t="s">
        <v>37</v>
      </c>
      <c r="E815" s="2">
        <v>6976.95</v>
      </c>
      <c r="F815">
        <v>36</v>
      </c>
      <c r="G815" t="s">
        <v>31</v>
      </c>
      <c r="H815" s="2">
        <v>4043.53</v>
      </c>
      <c r="I815" s="2">
        <v>4384.8500000000004</v>
      </c>
      <c r="J815" t="s">
        <v>27</v>
      </c>
      <c r="K815">
        <v>0.14000000000000001</v>
      </c>
      <c r="L815" t="s">
        <v>21</v>
      </c>
      <c r="M815" t="s">
        <v>22</v>
      </c>
      <c r="N815" t="s">
        <v>51</v>
      </c>
      <c r="O815" s="2">
        <f>_Salesdata[[#This Row],[Unit_Price]] * _Salesdata[[#This Row],[Quantity_Sold]]</f>
        <v>157854.6</v>
      </c>
      <c r="P815" s="2">
        <f>_Salesdata[[#This Row],[Unit_Cost]] * _Salesdata[[#This Row],[Quantity_Sold]]</f>
        <v>145567.08000000002</v>
      </c>
      <c r="Q815" s="2">
        <f>_Salesdata[[#This Row],[Gross_Sales]] - _Salesdata[[#This Row],[Total Cost]]</f>
        <v>12287.51999999999</v>
      </c>
      <c r="R815" s="2"/>
    </row>
    <row r="816" spans="1:18" x14ac:dyDescent="0.25">
      <c r="A816">
        <v>1046</v>
      </c>
      <c r="B816" s="1">
        <v>44946</v>
      </c>
      <c r="C816" t="s">
        <v>48</v>
      </c>
      <c r="D816" t="s">
        <v>18</v>
      </c>
      <c r="E816" s="2">
        <v>4104.82</v>
      </c>
      <c r="F816">
        <v>43</v>
      </c>
      <c r="G816" t="s">
        <v>19</v>
      </c>
      <c r="H816" s="2">
        <v>4052.42</v>
      </c>
      <c r="I816" s="2">
        <v>4199.3</v>
      </c>
      <c r="J816" t="s">
        <v>27</v>
      </c>
      <c r="K816">
        <v>0.1</v>
      </c>
      <c r="L816" t="s">
        <v>44</v>
      </c>
      <c r="M816" t="s">
        <v>32</v>
      </c>
      <c r="N816" t="s">
        <v>54</v>
      </c>
      <c r="O816" s="2">
        <f>_Salesdata[[#This Row],[Unit_Price]] * _Salesdata[[#This Row],[Quantity_Sold]]</f>
        <v>180569.9</v>
      </c>
      <c r="P816" s="2">
        <f>_Salesdata[[#This Row],[Unit_Cost]] * _Salesdata[[#This Row],[Quantity_Sold]]</f>
        <v>174254.06</v>
      </c>
      <c r="Q816" s="2">
        <f>_Salesdata[[#This Row],[Gross_Sales]] - _Salesdata[[#This Row],[Total Cost]]</f>
        <v>6315.8399999999965</v>
      </c>
      <c r="R816" s="2"/>
    </row>
    <row r="817" spans="1:18" x14ac:dyDescent="0.25">
      <c r="A817">
        <v>1098</v>
      </c>
      <c r="B817" s="1">
        <v>45131</v>
      </c>
      <c r="C817" t="s">
        <v>24</v>
      </c>
      <c r="D817" t="s">
        <v>40</v>
      </c>
      <c r="E817" s="2">
        <v>8188.04</v>
      </c>
      <c r="F817">
        <v>19</v>
      </c>
      <c r="G817" t="s">
        <v>26</v>
      </c>
      <c r="H817" s="2">
        <v>4055.51</v>
      </c>
      <c r="I817" s="2">
        <v>4258.84</v>
      </c>
      <c r="J817" t="s">
        <v>20</v>
      </c>
      <c r="K817">
        <v>0.03</v>
      </c>
      <c r="L817" t="s">
        <v>28</v>
      </c>
      <c r="M817" t="s">
        <v>22</v>
      </c>
      <c r="N817" t="s">
        <v>55</v>
      </c>
      <c r="O817" s="2">
        <f>_Salesdata[[#This Row],[Unit_Price]] * _Salesdata[[#This Row],[Quantity_Sold]]</f>
        <v>80917.960000000006</v>
      </c>
      <c r="P817" s="2">
        <f>_Salesdata[[#This Row],[Unit_Cost]] * _Salesdata[[#This Row],[Quantity_Sold]]</f>
        <v>77054.69</v>
      </c>
      <c r="Q817" s="2">
        <f>_Salesdata[[#This Row],[Gross_Sales]] - _Salesdata[[#This Row],[Total Cost]]</f>
        <v>3863.2700000000041</v>
      </c>
      <c r="R817" s="2"/>
    </row>
    <row r="818" spans="1:18" x14ac:dyDescent="0.25">
      <c r="A818">
        <v>1097</v>
      </c>
      <c r="B818" s="1">
        <v>45193</v>
      </c>
      <c r="C818" t="s">
        <v>24</v>
      </c>
      <c r="D818" t="s">
        <v>18</v>
      </c>
      <c r="E818" s="2">
        <v>5025.6400000000003</v>
      </c>
      <c r="F818">
        <v>9</v>
      </c>
      <c r="G818" t="s">
        <v>31</v>
      </c>
      <c r="H818" s="2">
        <v>4067.28</v>
      </c>
      <c r="I818" s="2">
        <v>4548.09</v>
      </c>
      <c r="J818" t="s">
        <v>20</v>
      </c>
      <c r="K818">
        <v>0.12</v>
      </c>
      <c r="L818" t="s">
        <v>28</v>
      </c>
      <c r="M818" t="s">
        <v>32</v>
      </c>
      <c r="N818" t="s">
        <v>46</v>
      </c>
      <c r="O818" s="2">
        <f>_Salesdata[[#This Row],[Unit_Price]] * _Salesdata[[#This Row],[Quantity_Sold]]</f>
        <v>40932.81</v>
      </c>
      <c r="P818" s="2">
        <f>_Salesdata[[#This Row],[Unit_Cost]] * _Salesdata[[#This Row],[Quantity_Sold]]</f>
        <v>36605.520000000004</v>
      </c>
      <c r="Q818" s="2">
        <f>_Salesdata[[#This Row],[Gross_Sales]] - _Salesdata[[#This Row],[Total Cost]]</f>
        <v>4327.2899999999936</v>
      </c>
      <c r="R818" s="2"/>
    </row>
    <row r="819" spans="1:18" x14ac:dyDescent="0.25">
      <c r="A819">
        <v>1089</v>
      </c>
      <c r="B819" s="1">
        <v>44927</v>
      </c>
      <c r="C819" t="s">
        <v>35</v>
      </c>
      <c r="D819" t="s">
        <v>37</v>
      </c>
      <c r="E819" s="2">
        <v>8130.13</v>
      </c>
      <c r="F819">
        <v>35</v>
      </c>
      <c r="G819" t="s">
        <v>19</v>
      </c>
      <c r="H819" s="2">
        <v>4071.01</v>
      </c>
      <c r="I819" s="2">
        <v>4304.7</v>
      </c>
      <c r="J819" t="s">
        <v>27</v>
      </c>
      <c r="K819">
        <v>0.14000000000000001</v>
      </c>
      <c r="L819" t="s">
        <v>28</v>
      </c>
      <c r="M819" t="s">
        <v>22</v>
      </c>
      <c r="N819" t="s">
        <v>38</v>
      </c>
      <c r="O819" s="2">
        <f>_Salesdata[[#This Row],[Unit_Price]] * _Salesdata[[#This Row],[Quantity_Sold]]</f>
        <v>150664.5</v>
      </c>
      <c r="P819" s="2">
        <f>_Salesdata[[#This Row],[Unit_Cost]] * _Salesdata[[#This Row],[Quantity_Sold]]</f>
        <v>142485.35</v>
      </c>
      <c r="Q819" s="2">
        <f>_Salesdata[[#This Row],[Gross_Sales]] - _Salesdata[[#This Row],[Total Cost]]</f>
        <v>8179.1499999999942</v>
      </c>
      <c r="R819" s="2"/>
    </row>
    <row r="820" spans="1:18" x14ac:dyDescent="0.25">
      <c r="A820">
        <v>1087</v>
      </c>
      <c r="B820" s="1">
        <v>44985</v>
      </c>
      <c r="C820" t="s">
        <v>24</v>
      </c>
      <c r="D820" t="s">
        <v>25</v>
      </c>
      <c r="E820" s="2">
        <v>7534.3</v>
      </c>
      <c r="F820">
        <v>15</v>
      </c>
      <c r="G820" t="s">
        <v>39</v>
      </c>
      <c r="H820" s="2">
        <v>4074.66</v>
      </c>
      <c r="I820" s="2">
        <v>4261.1099999999997</v>
      </c>
      <c r="J820" t="s">
        <v>20</v>
      </c>
      <c r="K820">
        <v>0.05</v>
      </c>
      <c r="L820" t="s">
        <v>28</v>
      </c>
      <c r="M820" t="s">
        <v>32</v>
      </c>
      <c r="N820" t="s">
        <v>29</v>
      </c>
      <c r="O820" s="2">
        <f>_Salesdata[[#This Row],[Unit_Price]] * _Salesdata[[#This Row],[Quantity_Sold]]</f>
        <v>63916.649999999994</v>
      </c>
      <c r="P820" s="2">
        <f>_Salesdata[[#This Row],[Unit_Cost]] * _Salesdata[[#This Row],[Quantity_Sold]]</f>
        <v>61119.899999999994</v>
      </c>
      <c r="Q820" s="2">
        <f>_Salesdata[[#This Row],[Gross_Sales]] - _Salesdata[[#This Row],[Total Cost]]</f>
        <v>2796.75</v>
      </c>
      <c r="R820" s="2"/>
    </row>
    <row r="821" spans="1:18" x14ac:dyDescent="0.25">
      <c r="A821">
        <v>1086</v>
      </c>
      <c r="B821" s="1">
        <v>45170</v>
      </c>
      <c r="C821" t="s">
        <v>35</v>
      </c>
      <c r="D821" t="s">
        <v>25</v>
      </c>
      <c r="E821" s="2">
        <v>5437.04</v>
      </c>
      <c r="F821">
        <v>17</v>
      </c>
      <c r="G821" t="s">
        <v>26</v>
      </c>
      <c r="H821" s="2">
        <v>4075.08</v>
      </c>
      <c r="I821" s="2">
        <v>4262.21</v>
      </c>
      <c r="J821" t="s">
        <v>27</v>
      </c>
      <c r="K821">
        <v>0.17</v>
      </c>
      <c r="L821" t="s">
        <v>21</v>
      </c>
      <c r="M821" t="s">
        <v>22</v>
      </c>
      <c r="N821" t="s">
        <v>56</v>
      </c>
      <c r="O821" s="2">
        <f>_Salesdata[[#This Row],[Unit_Price]] * _Salesdata[[#This Row],[Quantity_Sold]]</f>
        <v>72457.570000000007</v>
      </c>
      <c r="P821" s="2">
        <f>_Salesdata[[#This Row],[Unit_Cost]] * _Salesdata[[#This Row],[Quantity_Sold]]</f>
        <v>69276.36</v>
      </c>
      <c r="Q821" s="2">
        <f>_Salesdata[[#This Row],[Gross_Sales]] - _Salesdata[[#This Row],[Total Cost]]</f>
        <v>3181.2100000000064</v>
      </c>
      <c r="R821" s="2"/>
    </row>
    <row r="822" spans="1:18" x14ac:dyDescent="0.25">
      <c r="A822">
        <v>1085</v>
      </c>
      <c r="B822" s="1">
        <v>45187</v>
      </c>
      <c r="C822" t="s">
        <v>48</v>
      </c>
      <c r="D822" t="s">
        <v>18</v>
      </c>
      <c r="E822" s="2">
        <v>4716.47</v>
      </c>
      <c r="F822">
        <v>40</v>
      </c>
      <c r="G822" t="s">
        <v>19</v>
      </c>
      <c r="H822" s="2">
        <v>4083.23</v>
      </c>
      <c r="I822" s="2">
        <v>4521.57</v>
      </c>
      <c r="J822" t="s">
        <v>27</v>
      </c>
      <c r="K822">
        <v>0.27</v>
      </c>
      <c r="L822" t="s">
        <v>44</v>
      </c>
      <c r="M822" t="s">
        <v>32</v>
      </c>
      <c r="N822" t="s">
        <v>54</v>
      </c>
      <c r="O822" s="2">
        <f>_Salesdata[[#This Row],[Unit_Price]] * _Salesdata[[#This Row],[Quantity_Sold]]</f>
        <v>180862.8</v>
      </c>
      <c r="P822" s="2">
        <f>_Salesdata[[#This Row],[Unit_Cost]] * _Salesdata[[#This Row],[Quantity_Sold]]</f>
        <v>163329.20000000001</v>
      </c>
      <c r="Q822" s="2">
        <f>_Salesdata[[#This Row],[Gross_Sales]] - _Salesdata[[#This Row],[Total Cost]]</f>
        <v>17533.599999999977</v>
      </c>
      <c r="R822" s="2"/>
    </row>
    <row r="823" spans="1:18" x14ac:dyDescent="0.25">
      <c r="A823">
        <v>1089</v>
      </c>
      <c r="B823" s="1">
        <v>45177</v>
      </c>
      <c r="C823" t="s">
        <v>17</v>
      </c>
      <c r="D823" t="s">
        <v>25</v>
      </c>
      <c r="E823" s="2">
        <v>5228.28</v>
      </c>
      <c r="F823">
        <v>40</v>
      </c>
      <c r="G823" t="s">
        <v>39</v>
      </c>
      <c r="H823" s="2">
        <v>4089.66</v>
      </c>
      <c r="I823" s="2">
        <v>4275.96</v>
      </c>
      <c r="J823" t="s">
        <v>27</v>
      </c>
      <c r="K823">
        <v>0.23</v>
      </c>
      <c r="L823" t="s">
        <v>28</v>
      </c>
      <c r="M823" t="s">
        <v>22</v>
      </c>
      <c r="N823" t="s">
        <v>34</v>
      </c>
      <c r="O823" s="2">
        <f>_Salesdata[[#This Row],[Unit_Price]] * _Salesdata[[#This Row],[Quantity_Sold]]</f>
        <v>171038.4</v>
      </c>
      <c r="P823" s="2">
        <f>_Salesdata[[#This Row],[Unit_Cost]] * _Salesdata[[#This Row],[Quantity_Sold]]</f>
        <v>163586.4</v>
      </c>
      <c r="Q823" s="2">
        <f>_Salesdata[[#This Row],[Gross_Sales]] - _Salesdata[[#This Row],[Total Cost]]</f>
        <v>7452</v>
      </c>
      <c r="R823" s="2"/>
    </row>
    <row r="824" spans="1:18" x14ac:dyDescent="0.25">
      <c r="A824">
        <v>1026</v>
      </c>
      <c r="B824" s="1">
        <v>44952</v>
      </c>
      <c r="C824" t="s">
        <v>30</v>
      </c>
      <c r="D824" t="s">
        <v>18</v>
      </c>
      <c r="E824" s="2">
        <v>2195.1999999999998</v>
      </c>
      <c r="F824">
        <v>5</v>
      </c>
      <c r="G824" t="s">
        <v>31</v>
      </c>
      <c r="H824" s="2">
        <v>4093.61</v>
      </c>
      <c r="I824" s="2">
        <v>4117.88</v>
      </c>
      <c r="J824" t="s">
        <v>20</v>
      </c>
      <c r="K824">
        <v>0.12</v>
      </c>
      <c r="L824" t="s">
        <v>28</v>
      </c>
      <c r="M824" t="s">
        <v>32</v>
      </c>
      <c r="N824" t="s">
        <v>33</v>
      </c>
      <c r="O824" s="2">
        <f>_Salesdata[[#This Row],[Unit_Price]] * _Salesdata[[#This Row],[Quantity_Sold]]</f>
        <v>20589.400000000001</v>
      </c>
      <c r="P824" s="2">
        <f>_Salesdata[[#This Row],[Unit_Cost]] * _Salesdata[[#This Row],[Quantity_Sold]]</f>
        <v>20468.05</v>
      </c>
      <c r="Q824" s="2">
        <f>_Salesdata[[#This Row],[Gross_Sales]] - _Salesdata[[#This Row],[Total Cost]]</f>
        <v>121.35000000000218</v>
      </c>
      <c r="R824" s="2"/>
    </row>
    <row r="825" spans="1:18" x14ac:dyDescent="0.25">
      <c r="A825">
        <v>1001</v>
      </c>
      <c r="B825" s="1">
        <v>45073</v>
      </c>
      <c r="C825" t="s">
        <v>24</v>
      </c>
      <c r="D825" t="s">
        <v>40</v>
      </c>
      <c r="E825" s="2">
        <v>1498.11</v>
      </c>
      <c r="F825">
        <v>7</v>
      </c>
      <c r="G825" t="s">
        <v>26</v>
      </c>
      <c r="H825" s="2">
        <v>4094.68</v>
      </c>
      <c r="I825" s="2">
        <v>4576.5</v>
      </c>
      <c r="J825" t="s">
        <v>27</v>
      </c>
      <c r="K825">
        <v>0.3</v>
      </c>
      <c r="L825" t="s">
        <v>21</v>
      </c>
      <c r="M825" t="s">
        <v>32</v>
      </c>
      <c r="N825" t="s">
        <v>55</v>
      </c>
      <c r="O825" s="2">
        <f>_Salesdata[[#This Row],[Unit_Price]] * _Salesdata[[#This Row],[Quantity_Sold]]</f>
        <v>32035.5</v>
      </c>
      <c r="P825" s="2">
        <f>_Salesdata[[#This Row],[Unit_Cost]] * _Salesdata[[#This Row],[Quantity_Sold]]</f>
        <v>28662.76</v>
      </c>
      <c r="Q825" s="2">
        <f>_Salesdata[[#This Row],[Gross_Sales]] - _Salesdata[[#This Row],[Total Cost]]</f>
        <v>3372.7400000000016</v>
      </c>
      <c r="R825" s="2"/>
    </row>
    <row r="826" spans="1:18" x14ac:dyDescent="0.25">
      <c r="A826">
        <v>1046</v>
      </c>
      <c r="B826" s="1">
        <v>45153</v>
      </c>
      <c r="C826" t="s">
        <v>24</v>
      </c>
      <c r="D826" t="s">
        <v>40</v>
      </c>
      <c r="E826" s="2">
        <v>2373.02</v>
      </c>
      <c r="F826">
        <v>4</v>
      </c>
      <c r="G826" t="s">
        <v>39</v>
      </c>
      <c r="H826" s="2">
        <v>4095.1</v>
      </c>
      <c r="I826" s="2">
        <v>4134.55</v>
      </c>
      <c r="J826" t="s">
        <v>20</v>
      </c>
      <c r="K826">
        <v>0.09</v>
      </c>
      <c r="L826" t="s">
        <v>44</v>
      </c>
      <c r="M826" t="s">
        <v>32</v>
      </c>
      <c r="N826" t="s">
        <v>55</v>
      </c>
      <c r="O826" s="2">
        <f>_Salesdata[[#This Row],[Unit_Price]] * _Salesdata[[#This Row],[Quantity_Sold]]</f>
        <v>16538.2</v>
      </c>
      <c r="P826" s="2">
        <f>_Salesdata[[#This Row],[Unit_Cost]] * _Salesdata[[#This Row],[Quantity_Sold]]</f>
        <v>16380.4</v>
      </c>
      <c r="Q826" s="2">
        <f>_Salesdata[[#This Row],[Gross_Sales]] - _Salesdata[[#This Row],[Total Cost]]</f>
        <v>157.80000000000109</v>
      </c>
      <c r="R826" s="2"/>
    </row>
    <row r="827" spans="1:18" x14ac:dyDescent="0.25">
      <c r="A827">
        <v>1032</v>
      </c>
      <c r="B827" s="1">
        <v>45286</v>
      </c>
      <c r="C827" t="s">
        <v>30</v>
      </c>
      <c r="D827" t="s">
        <v>40</v>
      </c>
      <c r="E827" s="2">
        <v>4244.21</v>
      </c>
      <c r="F827">
        <v>11</v>
      </c>
      <c r="G827" t="s">
        <v>19</v>
      </c>
      <c r="H827" s="2">
        <v>4100.62</v>
      </c>
      <c r="I827" s="2">
        <v>4230</v>
      </c>
      <c r="J827" t="s">
        <v>27</v>
      </c>
      <c r="K827">
        <v>0.28999999999999998</v>
      </c>
      <c r="L827" t="s">
        <v>44</v>
      </c>
      <c r="M827" t="s">
        <v>22</v>
      </c>
      <c r="N827" t="s">
        <v>41</v>
      </c>
      <c r="O827" s="2">
        <f>_Salesdata[[#This Row],[Unit_Price]] * _Salesdata[[#This Row],[Quantity_Sold]]</f>
        <v>46530</v>
      </c>
      <c r="P827" s="2">
        <f>_Salesdata[[#This Row],[Unit_Cost]] * _Salesdata[[#This Row],[Quantity_Sold]]</f>
        <v>45106.82</v>
      </c>
      <c r="Q827" s="2">
        <f>_Salesdata[[#This Row],[Gross_Sales]] - _Salesdata[[#This Row],[Total Cost]]</f>
        <v>1423.1800000000003</v>
      </c>
      <c r="R827" s="2"/>
    </row>
    <row r="828" spans="1:18" x14ac:dyDescent="0.25">
      <c r="A828">
        <v>1060</v>
      </c>
      <c r="B828" s="1">
        <v>45039</v>
      </c>
      <c r="C828" t="s">
        <v>48</v>
      </c>
      <c r="D828" t="s">
        <v>18</v>
      </c>
      <c r="E828" s="2">
        <v>273.77</v>
      </c>
      <c r="F828">
        <v>23</v>
      </c>
      <c r="G828" t="s">
        <v>19</v>
      </c>
      <c r="H828" s="2">
        <v>4110.6000000000004</v>
      </c>
      <c r="I828" s="2">
        <v>4488.37</v>
      </c>
      <c r="J828" t="s">
        <v>27</v>
      </c>
      <c r="K828">
        <v>0.12</v>
      </c>
      <c r="L828" t="s">
        <v>28</v>
      </c>
      <c r="M828" t="s">
        <v>22</v>
      </c>
      <c r="N828" t="s">
        <v>54</v>
      </c>
      <c r="O828" s="2">
        <f>_Salesdata[[#This Row],[Unit_Price]] * _Salesdata[[#This Row],[Quantity_Sold]]</f>
        <v>103232.51</v>
      </c>
      <c r="P828" s="2">
        <f>_Salesdata[[#This Row],[Unit_Cost]] * _Salesdata[[#This Row],[Quantity_Sold]]</f>
        <v>94543.8</v>
      </c>
      <c r="Q828" s="2">
        <f>_Salesdata[[#This Row],[Gross_Sales]] - _Salesdata[[#This Row],[Total Cost]]</f>
        <v>8688.7099999999919</v>
      </c>
      <c r="R828" s="2"/>
    </row>
    <row r="829" spans="1:18" x14ac:dyDescent="0.25">
      <c r="A829">
        <v>1055</v>
      </c>
      <c r="B829" s="1">
        <v>45127</v>
      </c>
      <c r="C829" t="s">
        <v>48</v>
      </c>
      <c r="D829" t="s">
        <v>25</v>
      </c>
      <c r="E829" s="2">
        <v>7354.06</v>
      </c>
      <c r="F829">
        <v>43</v>
      </c>
      <c r="G829" t="s">
        <v>39</v>
      </c>
      <c r="H829" s="2">
        <v>4111.7</v>
      </c>
      <c r="I829" s="2">
        <v>4537.9399999999996</v>
      </c>
      <c r="J829" t="s">
        <v>20</v>
      </c>
      <c r="K829">
        <v>0.13</v>
      </c>
      <c r="L829" t="s">
        <v>44</v>
      </c>
      <c r="M829" t="s">
        <v>22</v>
      </c>
      <c r="N829" t="s">
        <v>49</v>
      </c>
      <c r="O829" s="2">
        <f>_Salesdata[[#This Row],[Unit_Price]] * _Salesdata[[#This Row],[Quantity_Sold]]</f>
        <v>195131.41999999998</v>
      </c>
      <c r="P829" s="2">
        <f>_Salesdata[[#This Row],[Unit_Cost]] * _Salesdata[[#This Row],[Quantity_Sold]]</f>
        <v>176803.1</v>
      </c>
      <c r="Q829" s="2">
        <f>_Salesdata[[#This Row],[Gross_Sales]] - _Salesdata[[#This Row],[Total Cost]]</f>
        <v>18328.319999999978</v>
      </c>
      <c r="R829" s="2"/>
    </row>
    <row r="830" spans="1:18" x14ac:dyDescent="0.25">
      <c r="A830">
        <v>1094</v>
      </c>
      <c r="B830" s="1">
        <v>45291</v>
      </c>
      <c r="C830" t="s">
        <v>17</v>
      </c>
      <c r="D830" t="s">
        <v>40</v>
      </c>
      <c r="E830" s="2">
        <v>6586.22</v>
      </c>
      <c r="F830">
        <v>15</v>
      </c>
      <c r="G830" t="s">
        <v>31</v>
      </c>
      <c r="H830" s="2">
        <v>4111.93</v>
      </c>
      <c r="I830" s="2">
        <v>4338.67</v>
      </c>
      <c r="J830" t="s">
        <v>20</v>
      </c>
      <c r="K830">
        <v>0.26</v>
      </c>
      <c r="L830" t="s">
        <v>28</v>
      </c>
      <c r="M830" t="s">
        <v>22</v>
      </c>
      <c r="N830" t="s">
        <v>42</v>
      </c>
      <c r="O830" s="2">
        <f>_Salesdata[[#This Row],[Unit_Price]] * _Salesdata[[#This Row],[Quantity_Sold]]</f>
        <v>65080.05</v>
      </c>
      <c r="P830" s="2">
        <f>_Salesdata[[#This Row],[Unit_Cost]] * _Salesdata[[#This Row],[Quantity_Sold]]</f>
        <v>61678.950000000004</v>
      </c>
      <c r="Q830" s="2">
        <f>_Salesdata[[#This Row],[Gross_Sales]] - _Salesdata[[#This Row],[Total Cost]]</f>
        <v>3401.0999999999985</v>
      </c>
      <c r="R830" s="2"/>
    </row>
    <row r="831" spans="1:18" x14ac:dyDescent="0.25">
      <c r="A831">
        <v>1024</v>
      </c>
      <c r="B831" s="1">
        <v>45286</v>
      </c>
      <c r="C831" t="s">
        <v>30</v>
      </c>
      <c r="D831" t="s">
        <v>37</v>
      </c>
      <c r="E831" s="2">
        <v>2565.19</v>
      </c>
      <c r="F831">
        <v>17</v>
      </c>
      <c r="G831" t="s">
        <v>39</v>
      </c>
      <c r="H831" s="2">
        <v>4114.66</v>
      </c>
      <c r="I831" s="2">
        <v>4269.0199999999904</v>
      </c>
      <c r="J831" t="s">
        <v>20</v>
      </c>
      <c r="K831">
        <v>0.27</v>
      </c>
      <c r="L831" t="s">
        <v>44</v>
      </c>
      <c r="M831" t="s">
        <v>32</v>
      </c>
      <c r="N831" t="s">
        <v>51</v>
      </c>
      <c r="O831" s="2">
        <f>_Salesdata[[#This Row],[Unit_Price]] * _Salesdata[[#This Row],[Quantity_Sold]]</f>
        <v>72573.339999999836</v>
      </c>
      <c r="P831" s="2">
        <f>_Salesdata[[#This Row],[Unit_Cost]] * _Salesdata[[#This Row],[Quantity_Sold]]</f>
        <v>69949.22</v>
      </c>
      <c r="Q831" s="2">
        <f>_Salesdata[[#This Row],[Gross_Sales]] - _Salesdata[[#This Row],[Total Cost]]</f>
        <v>2624.1199999998353</v>
      </c>
      <c r="R831" s="2"/>
    </row>
    <row r="832" spans="1:18" x14ac:dyDescent="0.25">
      <c r="A832">
        <v>1054</v>
      </c>
      <c r="B832" s="1">
        <v>45222</v>
      </c>
      <c r="C832" t="s">
        <v>30</v>
      </c>
      <c r="D832" t="s">
        <v>18</v>
      </c>
      <c r="E832" s="2">
        <v>4252.54</v>
      </c>
      <c r="F832">
        <v>8</v>
      </c>
      <c r="G832" t="s">
        <v>31</v>
      </c>
      <c r="H832" s="2">
        <v>4117.13</v>
      </c>
      <c r="I832" s="2">
        <v>4177.0600000000004</v>
      </c>
      <c r="J832" t="s">
        <v>20</v>
      </c>
      <c r="K832">
        <v>0.25</v>
      </c>
      <c r="L832" t="s">
        <v>44</v>
      </c>
      <c r="M832" t="s">
        <v>32</v>
      </c>
      <c r="N832" t="s">
        <v>33</v>
      </c>
      <c r="O832" s="2">
        <f>_Salesdata[[#This Row],[Unit_Price]] * _Salesdata[[#This Row],[Quantity_Sold]]</f>
        <v>33416.480000000003</v>
      </c>
      <c r="P832" s="2">
        <f>_Salesdata[[#This Row],[Unit_Cost]] * _Salesdata[[#This Row],[Quantity_Sold]]</f>
        <v>32937.040000000001</v>
      </c>
      <c r="Q832" s="2">
        <f>_Salesdata[[#This Row],[Gross_Sales]] - _Salesdata[[#This Row],[Total Cost]]</f>
        <v>479.44000000000233</v>
      </c>
      <c r="R832" s="2"/>
    </row>
    <row r="833" spans="1:18" x14ac:dyDescent="0.25">
      <c r="A833">
        <v>1089</v>
      </c>
      <c r="B833" s="1">
        <v>44988</v>
      </c>
      <c r="C833" t="s">
        <v>35</v>
      </c>
      <c r="D833" t="s">
        <v>37</v>
      </c>
      <c r="E833" s="2">
        <v>2122.73</v>
      </c>
      <c r="F833">
        <v>4</v>
      </c>
      <c r="G833" t="s">
        <v>39</v>
      </c>
      <c r="H833" s="2">
        <v>4117.67</v>
      </c>
      <c r="I833" s="2">
        <v>4280.0600000000004</v>
      </c>
      <c r="J833" t="s">
        <v>20</v>
      </c>
      <c r="K833">
        <v>0.18</v>
      </c>
      <c r="L833" t="s">
        <v>44</v>
      </c>
      <c r="M833" t="s">
        <v>22</v>
      </c>
      <c r="N833" t="s">
        <v>38</v>
      </c>
      <c r="O833" s="2">
        <f>_Salesdata[[#This Row],[Unit_Price]] * _Salesdata[[#This Row],[Quantity_Sold]]</f>
        <v>17120.240000000002</v>
      </c>
      <c r="P833" s="2">
        <f>_Salesdata[[#This Row],[Unit_Cost]] * _Salesdata[[#This Row],[Quantity_Sold]]</f>
        <v>16470.68</v>
      </c>
      <c r="Q833" s="2">
        <f>_Salesdata[[#This Row],[Gross_Sales]] - _Salesdata[[#This Row],[Total Cost]]</f>
        <v>649.56000000000131</v>
      </c>
      <c r="R833" s="2"/>
    </row>
    <row r="834" spans="1:18" x14ac:dyDescent="0.25">
      <c r="A834">
        <v>1094</v>
      </c>
      <c r="B834" s="1">
        <v>44981</v>
      </c>
      <c r="C834" t="s">
        <v>17</v>
      </c>
      <c r="D834" t="s">
        <v>25</v>
      </c>
      <c r="E834" s="2">
        <v>6171.59</v>
      </c>
      <c r="F834">
        <v>7</v>
      </c>
      <c r="G834" t="s">
        <v>39</v>
      </c>
      <c r="H834" s="2">
        <v>4122.38</v>
      </c>
      <c r="I834" s="2">
        <v>4358.78</v>
      </c>
      <c r="J834" t="s">
        <v>20</v>
      </c>
      <c r="K834">
        <v>0.26</v>
      </c>
      <c r="L834" t="s">
        <v>44</v>
      </c>
      <c r="M834" t="s">
        <v>32</v>
      </c>
      <c r="N834" t="s">
        <v>34</v>
      </c>
      <c r="O834" s="2">
        <f>_Salesdata[[#This Row],[Unit_Price]] * _Salesdata[[#This Row],[Quantity_Sold]]</f>
        <v>30511.46</v>
      </c>
      <c r="P834" s="2">
        <f>_Salesdata[[#This Row],[Unit_Cost]] * _Salesdata[[#This Row],[Quantity_Sold]]</f>
        <v>28856.66</v>
      </c>
      <c r="Q834" s="2">
        <f>_Salesdata[[#This Row],[Gross_Sales]] - _Salesdata[[#This Row],[Total Cost]]</f>
        <v>1654.7999999999993</v>
      </c>
      <c r="R834" s="2"/>
    </row>
    <row r="835" spans="1:18" x14ac:dyDescent="0.25">
      <c r="A835">
        <v>1039</v>
      </c>
      <c r="B835" s="1">
        <v>45194</v>
      </c>
      <c r="C835" t="s">
        <v>48</v>
      </c>
      <c r="D835" t="s">
        <v>25</v>
      </c>
      <c r="E835" s="2">
        <v>1143.3900000000001</v>
      </c>
      <c r="F835">
        <v>37</v>
      </c>
      <c r="G835" t="s">
        <v>26</v>
      </c>
      <c r="H835" s="2">
        <v>4127.05</v>
      </c>
      <c r="I835" s="2">
        <v>4313.45</v>
      </c>
      <c r="J835" t="s">
        <v>27</v>
      </c>
      <c r="K835">
        <v>0.16</v>
      </c>
      <c r="L835" t="s">
        <v>21</v>
      </c>
      <c r="M835" t="s">
        <v>22</v>
      </c>
      <c r="N835" t="s">
        <v>49</v>
      </c>
      <c r="O835" s="2">
        <f>_Salesdata[[#This Row],[Unit_Price]] * _Salesdata[[#This Row],[Quantity_Sold]]</f>
        <v>159597.65</v>
      </c>
      <c r="P835" s="2">
        <f>_Salesdata[[#This Row],[Unit_Cost]] * _Salesdata[[#This Row],[Quantity_Sold]]</f>
        <v>152700.85</v>
      </c>
      <c r="Q835" s="2">
        <f>_Salesdata[[#This Row],[Gross_Sales]] - _Salesdata[[#This Row],[Total Cost]]</f>
        <v>6896.7999999999884</v>
      </c>
      <c r="R835" s="2"/>
    </row>
    <row r="836" spans="1:18" x14ac:dyDescent="0.25">
      <c r="A836">
        <v>1080</v>
      </c>
      <c r="B836" s="1">
        <v>45114</v>
      </c>
      <c r="C836" t="s">
        <v>35</v>
      </c>
      <c r="D836" t="s">
        <v>25</v>
      </c>
      <c r="E836" s="2">
        <v>5993.5</v>
      </c>
      <c r="F836">
        <v>14</v>
      </c>
      <c r="G836" t="s">
        <v>31</v>
      </c>
      <c r="H836" s="2">
        <v>4127.54</v>
      </c>
      <c r="I836" s="2">
        <v>4495.13</v>
      </c>
      <c r="J836" t="s">
        <v>27</v>
      </c>
      <c r="K836">
        <v>0.06</v>
      </c>
      <c r="L836" t="s">
        <v>44</v>
      </c>
      <c r="M836" t="s">
        <v>32</v>
      </c>
      <c r="N836" t="s">
        <v>56</v>
      </c>
      <c r="O836" s="2">
        <f>_Salesdata[[#This Row],[Unit_Price]] * _Salesdata[[#This Row],[Quantity_Sold]]</f>
        <v>62931.82</v>
      </c>
      <c r="P836" s="2">
        <f>_Salesdata[[#This Row],[Unit_Cost]] * _Salesdata[[#This Row],[Quantity_Sold]]</f>
        <v>57785.56</v>
      </c>
      <c r="Q836" s="2">
        <f>_Salesdata[[#This Row],[Gross_Sales]] - _Salesdata[[#This Row],[Total Cost]]</f>
        <v>5146.260000000002</v>
      </c>
      <c r="R836" s="2"/>
    </row>
    <row r="837" spans="1:18" x14ac:dyDescent="0.25">
      <c r="A837">
        <v>1035</v>
      </c>
      <c r="B837" s="1">
        <v>45068</v>
      </c>
      <c r="C837" t="s">
        <v>24</v>
      </c>
      <c r="D837" t="s">
        <v>40</v>
      </c>
      <c r="E837" s="2">
        <v>3780.22</v>
      </c>
      <c r="F837">
        <v>45</v>
      </c>
      <c r="G837" t="s">
        <v>31</v>
      </c>
      <c r="H837" s="2">
        <v>4132.79</v>
      </c>
      <c r="I837" s="2">
        <v>4624.1000000000004</v>
      </c>
      <c r="J837" t="s">
        <v>27</v>
      </c>
      <c r="K837">
        <v>0.15</v>
      </c>
      <c r="L837" t="s">
        <v>28</v>
      </c>
      <c r="M837" t="s">
        <v>32</v>
      </c>
      <c r="N837" t="s">
        <v>55</v>
      </c>
      <c r="O837" s="2">
        <f>_Salesdata[[#This Row],[Unit_Price]] * _Salesdata[[#This Row],[Quantity_Sold]]</f>
        <v>208084.50000000003</v>
      </c>
      <c r="P837" s="2">
        <f>_Salesdata[[#This Row],[Unit_Cost]] * _Salesdata[[#This Row],[Quantity_Sold]]</f>
        <v>185975.55</v>
      </c>
      <c r="Q837" s="2">
        <f>_Salesdata[[#This Row],[Gross_Sales]] - _Salesdata[[#This Row],[Total Cost]]</f>
        <v>22108.950000000041</v>
      </c>
      <c r="R837" s="2"/>
    </row>
    <row r="838" spans="1:18" x14ac:dyDescent="0.25">
      <c r="A838">
        <v>1066</v>
      </c>
      <c r="B838" s="1">
        <v>45101</v>
      </c>
      <c r="C838" t="s">
        <v>17</v>
      </c>
      <c r="D838" t="s">
        <v>25</v>
      </c>
      <c r="E838" s="2">
        <v>5851.41</v>
      </c>
      <c r="F838">
        <v>13</v>
      </c>
      <c r="G838" t="s">
        <v>39</v>
      </c>
      <c r="H838" s="2">
        <v>4133.92</v>
      </c>
      <c r="I838" s="2">
        <v>4358.37</v>
      </c>
      <c r="J838" t="s">
        <v>27</v>
      </c>
      <c r="K838">
        <v>0.13</v>
      </c>
      <c r="L838" t="s">
        <v>21</v>
      </c>
      <c r="M838" t="s">
        <v>32</v>
      </c>
      <c r="N838" t="s">
        <v>34</v>
      </c>
      <c r="O838" s="2">
        <f>_Salesdata[[#This Row],[Unit_Price]] * _Salesdata[[#This Row],[Quantity_Sold]]</f>
        <v>56658.81</v>
      </c>
      <c r="P838" s="2">
        <f>_Salesdata[[#This Row],[Unit_Cost]] * _Salesdata[[#This Row],[Quantity_Sold]]</f>
        <v>53740.959999999999</v>
      </c>
      <c r="Q838" s="2">
        <f>_Salesdata[[#This Row],[Gross_Sales]] - _Salesdata[[#This Row],[Total Cost]]</f>
        <v>2917.8499999999985</v>
      </c>
      <c r="R838" s="2"/>
    </row>
    <row r="839" spans="1:18" x14ac:dyDescent="0.25">
      <c r="A839">
        <v>1002</v>
      </c>
      <c r="B839" s="1">
        <v>45138</v>
      </c>
      <c r="C839" t="s">
        <v>30</v>
      </c>
      <c r="D839" t="s">
        <v>18</v>
      </c>
      <c r="E839" s="2">
        <v>8090.84</v>
      </c>
      <c r="F839">
        <v>21</v>
      </c>
      <c r="G839" t="s">
        <v>19</v>
      </c>
      <c r="H839" s="2">
        <v>4138.41</v>
      </c>
      <c r="I839" s="2">
        <v>4361.7</v>
      </c>
      <c r="J839" t="s">
        <v>20</v>
      </c>
      <c r="K839">
        <v>7.0000000000000007E-2</v>
      </c>
      <c r="L839" t="s">
        <v>28</v>
      </c>
      <c r="M839" t="s">
        <v>32</v>
      </c>
      <c r="N839" t="s">
        <v>33</v>
      </c>
      <c r="O839" s="2">
        <f>_Salesdata[[#This Row],[Unit_Price]] * _Salesdata[[#This Row],[Quantity_Sold]]</f>
        <v>91595.7</v>
      </c>
      <c r="P839" s="2">
        <f>_Salesdata[[#This Row],[Unit_Cost]] * _Salesdata[[#This Row],[Quantity_Sold]]</f>
        <v>86906.61</v>
      </c>
      <c r="Q839" s="2">
        <f>_Salesdata[[#This Row],[Gross_Sales]] - _Salesdata[[#This Row],[Total Cost]]</f>
        <v>4689.0899999999965</v>
      </c>
      <c r="R839" s="2"/>
    </row>
    <row r="840" spans="1:18" x14ac:dyDescent="0.25">
      <c r="A840">
        <v>1059</v>
      </c>
      <c r="B840" s="1">
        <v>45067</v>
      </c>
      <c r="C840" t="s">
        <v>24</v>
      </c>
      <c r="D840" t="s">
        <v>37</v>
      </c>
      <c r="E840" s="2">
        <v>5108.9799999999996</v>
      </c>
      <c r="F840">
        <v>37</v>
      </c>
      <c r="G840" t="s">
        <v>26</v>
      </c>
      <c r="H840" s="2">
        <v>4146.99</v>
      </c>
      <c r="I840" s="2">
        <v>4172.3499999999904</v>
      </c>
      <c r="J840" t="s">
        <v>20</v>
      </c>
      <c r="K840">
        <v>0.06</v>
      </c>
      <c r="L840" t="s">
        <v>21</v>
      </c>
      <c r="M840" t="s">
        <v>32</v>
      </c>
      <c r="N840" t="s">
        <v>53</v>
      </c>
      <c r="O840" s="2">
        <f>_Salesdata[[#This Row],[Unit_Price]] * _Salesdata[[#This Row],[Quantity_Sold]]</f>
        <v>154376.94999999963</v>
      </c>
      <c r="P840" s="2">
        <f>_Salesdata[[#This Row],[Unit_Cost]] * _Salesdata[[#This Row],[Quantity_Sold]]</f>
        <v>153438.63</v>
      </c>
      <c r="Q840" s="2">
        <f>_Salesdata[[#This Row],[Gross_Sales]] - _Salesdata[[#This Row],[Total Cost]]</f>
        <v>938.31999999962864</v>
      </c>
      <c r="R840" s="2"/>
    </row>
    <row r="841" spans="1:18" x14ac:dyDescent="0.25">
      <c r="A841">
        <v>1099</v>
      </c>
      <c r="B841" s="1">
        <v>45286</v>
      </c>
      <c r="C841" t="s">
        <v>48</v>
      </c>
      <c r="D841" t="s">
        <v>25</v>
      </c>
      <c r="E841" s="2">
        <v>6644.04</v>
      </c>
      <c r="F841">
        <v>25</v>
      </c>
      <c r="G841" t="s">
        <v>26</v>
      </c>
      <c r="H841" s="2">
        <v>4148.4799999999996</v>
      </c>
      <c r="I841" s="2">
        <v>4293.6899999999996</v>
      </c>
      <c r="J841" t="s">
        <v>27</v>
      </c>
      <c r="K841">
        <v>0.11</v>
      </c>
      <c r="L841" t="s">
        <v>44</v>
      </c>
      <c r="M841" t="s">
        <v>22</v>
      </c>
      <c r="N841" t="s">
        <v>49</v>
      </c>
      <c r="O841" s="2">
        <f>_Salesdata[[#This Row],[Unit_Price]] * _Salesdata[[#This Row],[Quantity_Sold]]</f>
        <v>107342.24999999999</v>
      </c>
      <c r="P841" s="2">
        <f>_Salesdata[[#This Row],[Unit_Cost]] * _Salesdata[[#This Row],[Quantity_Sold]]</f>
        <v>103711.99999999999</v>
      </c>
      <c r="Q841" s="2">
        <f>_Salesdata[[#This Row],[Gross_Sales]] - _Salesdata[[#This Row],[Total Cost]]</f>
        <v>3630.25</v>
      </c>
      <c r="R841" s="2"/>
    </row>
    <row r="842" spans="1:18" x14ac:dyDescent="0.25">
      <c r="A842">
        <v>1021</v>
      </c>
      <c r="B842" s="1">
        <v>45120</v>
      </c>
      <c r="C842" t="s">
        <v>17</v>
      </c>
      <c r="D842" t="s">
        <v>25</v>
      </c>
      <c r="E842" s="2">
        <v>9638.64</v>
      </c>
      <c r="F842">
        <v>43</v>
      </c>
      <c r="G842" t="s">
        <v>39</v>
      </c>
      <c r="H842" s="2">
        <v>4154.3</v>
      </c>
      <c r="I842" s="2">
        <v>4469.07</v>
      </c>
      <c r="J842" t="s">
        <v>20</v>
      </c>
      <c r="K842">
        <v>0.23</v>
      </c>
      <c r="L842" t="s">
        <v>21</v>
      </c>
      <c r="M842" t="s">
        <v>32</v>
      </c>
      <c r="N842" t="s">
        <v>34</v>
      </c>
      <c r="O842" s="2">
        <f>_Salesdata[[#This Row],[Unit_Price]] * _Salesdata[[#This Row],[Quantity_Sold]]</f>
        <v>192170.00999999998</v>
      </c>
      <c r="P842" s="2">
        <f>_Salesdata[[#This Row],[Unit_Cost]] * _Salesdata[[#This Row],[Quantity_Sold]]</f>
        <v>178634.9</v>
      </c>
      <c r="Q842" s="2">
        <f>_Salesdata[[#This Row],[Gross_Sales]] - _Salesdata[[#This Row],[Total Cost]]</f>
        <v>13535.109999999986</v>
      </c>
      <c r="R842" s="2"/>
    </row>
    <row r="843" spans="1:18" x14ac:dyDescent="0.25">
      <c r="A843">
        <v>1023</v>
      </c>
      <c r="B843" s="1">
        <v>45105</v>
      </c>
      <c r="C843" t="s">
        <v>48</v>
      </c>
      <c r="D843" t="s">
        <v>18</v>
      </c>
      <c r="E843" s="2">
        <v>2170.94</v>
      </c>
      <c r="F843">
        <v>9</v>
      </c>
      <c r="G843" t="s">
        <v>19</v>
      </c>
      <c r="H843" s="2">
        <v>4155.46</v>
      </c>
      <c r="I843" s="2">
        <v>4273.6000000000004</v>
      </c>
      <c r="J843" t="s">
        <v>20</v>
      </c>
      <c r="K843">
        <v>0.25</v>
      </c>
      <c r="L843" t="s">
        <v>21</v>
      </c>
      <c r="M843" t="s">
        <v>32</v>
      </c>
      <c r="N843" t="s">
        <v>54</v>
      </c>
      <c r="O843" s="2">
        <f>_Salesdata[[#This Row],[Unit_Price]] * _Salesdata[[#This Row],[Quantity_Sold]]</f>
        <v>38462.400000000001</v>
      </c>
      <c r="P843" s="2">
        <f>_Salesdata[[#This Row],[Unit_Cost]] * _Salesdata[[#This Row],[Quantity_Sold]]</f>
        <v>37399.14</v>
      </c>
      <c r="Q843" s="2">
        <f>_Salesdata[[#This Row],[Gross_Sales]] - _Salesdata[[#This Row],[Total Cost]]</f>
        <v>1063.260000000002</v>
      </c>
      <c r="R843" s="2"/>
    </row>
    <row r="844" spans="1:18" x14ac:dyDescent="0.25">
      <c r="A844">
        <v>1089</v>
      </c>
      <c r="B844" s="1">
        <v>45237</v>
      </c>
      <c r="C844" t="s">
        <v>17</v>
      </c>
      <c r="D844" t="s">
        <v>25</v>
      </c>
      <c r="E844" s="2">
        <v>2945.36</v>
      </c>
      <c r="F844">
        <v>47</v>
      </c>
      <c r="G844" t="s">
        <v>39</v>
      </c>
      <c r="H844" s="2">
        <v>4157.62</v>
      </c>
      <c r="I844" s="2">
        <v>4314.5599999999904</v>
      </c>
      <c r="J844" t="s">
        <v>27</v>
      </c>
      <c r="K844">
        <v>0.17</v>
      </c>
      <c r="L844" t="s">
        <v>44</v>
      </c>
      <c r="M844" t="s">
        <v>32</v>
      </c>
      <c r="N844" t="s">
        <v>34</v>
      </c>
      <c r="O844" s="2">
        <f>_Salesdata[[#This Row],[Unit_Price]] * _Salesdata[[#This Row],[Quantity_Sold]]</f>
        <v>202784.31999999954</v>
      </c>
      <c r="P844" s="2">
        <f>_Salesdata[[#This Row],[Unit_Cost]] * _Salesdata[[#This Row],[Quantity_Sold]]</f>
        <v>195408.13999999998</v>
      </c>
      <c r="Q844" s="2">
        <f>_Salesdata[[#This Row],[Gross_Sales]] - _Salesdata[[#This Row],[Total Cost]]</f>
        <v>7376.1799999995565</v>
      </c>
      <c r="R844" s="2"/>
    </row>
    <row r="845" spans="1:18" x14ac:dyDescent="0.25">
      <c r="A845">
        <v>1069</v>
      </c>
      <c r="B845" s="1">
        <v>45012</v>
      </c>
      <c r="C845" t="s">
        <v>30</v>
      </c>
      <c r="D845" t="s">
        <v>18</v>
      </c>
      <c r="E845" s="2">
        <v>719.39</v>
      </c>
      <c r="F845">
        <v>47</v>
      </c>
      <c r="G845" t="s">
        <v>26</v>
      </c>
      <c r="H845" s="2">
        <v>4171.83</v>
      </c>
      <c r="I845" s="2">
        <v>4320.93</v>
      </c>
      <c r="J845" t="s">
        <v>27</v>
      </c>
      <c r="K845">
        <v>7.0000000000000007E-2</v>
      </c>
      <c r="L845" t="s">
        <v>21</v>
      </c>
      <c r="M845" t="s">
        <v>22</v>
      </c>
      <c r="N845" t="s">
        <v>33</v>
      </c>
      <c r="O845" s="2">
        <f>_Salesdata[[#This Row],[Unit_Price]] * _Salesdata[[#This Row],[Quantity_Sold]]</f>
        <v>203083.71000000002</v>
      </c>
      <c r="P845" s="2">
        <f>_Salesdata[[#This Row],[Unit_Cost]] * _Salesdata[[#This Row],[Quantity_Sold]]</f>
        <v>196076.01</v>
      </c>
      <c r="Q845" s="2">
        <f>_Salesdata[[#This Row],[Gross_Sales]] - _Salesdata[[#This Row],[Total Cost]]</f>
        <v>7007.7000000000116</v>
      </c>
      <c r="R845" s="2"/>
    </row>
    <row r="846" spans="1:18" x14ac:dyDescent="0.25">
      <c r="A846">
        <v>1065</v>
      </c>
      <c r="B846" s="1">
        <v>45235</v>
      </c>
      <c r="C846" t="s">
        <v>24</v>
      </c>
      <c r="D846" t="s">
        <v>18</v>
      </c>
      <c r="E846" s="2">
        <v>9519.16</v>
      </c>
      <c r="F846">
        <v>3</v>
      </c>
      <c r="G846" t="s">
        <v>39</v>
      </c>
      <c r="H846" s="2">
        <v>4173.04</v>
      </c>
      <c r="I846" s="2">
        <v>4362.4399999999996</v>
      </c>
      <c r="J846" t="s">
        <v>27</v>
      </c>
      <c r="K846">
        <v>0.23</v>
      </c>
      <c r="L846" t="s">
        <v>44</v>
      </c>
      <c r="M846" t="s">
        <v>32</v>
      </c>
      <c r="N846" t="s">
        <v>46</v>
      </c>
      <c r="O846" s="2">
        <f>_Salesdata[[#This Row],[Unit_Price]] * _Salesdata[[#This Row],[Quantity_Sold]]</f>
        <v>13087.32</v>
      </c>
      <c r="P846" s="2">
        <f>_Salesdata[[#This Row],[Unit_Cost]] * _Salesdata[[#This Row],[Quantity_Sold]]</f>
        <v>12519.119999999999</v>
      </c>
      <c r="Q846" s="2">
        <f>_Salesdata[[#This Row],[Gross_Sales]] - _Salesdata[[#This Row],[Total Cost]]</f>
        <v>568.20000000000073</v>
      </c>
      <c r="R846" s="2"/>
    </row>
    <row r="847" spans="1:18" x14ac:dyDescent="0.25">
      <c r="A847">
        <v>1055</v>
      </c>
      <c r="B847" s="1">
        <v>45215</v>
      </c>
      <c r="C847" t="s">
        <v>30</v>
      </c>
      <c r="D847" t="s">
        <v>18</v>
      </c>
      <c r="E847" s="2">
        <v>3093.95</v>
      </c>
      <c r="F847">
        <v>46</v>
      </c>
      <c r="G847" t="s">
        <v>19</v>
      </c>
      <c r="H847" s="2">
        <v>4173.5200000000004</v>
      </c>
      <c r="I847" s="2">
        <v>4294.8500000000004</v>
      </c>
      <c r="J847" t="s">
        <v>20</v>
      </c>
      <c r="K847">
        <v>0.03</v>
      </c>
      <c r="L847" t="s">
        <v>44</v>
      </c>
      <c r="M847" t="s">
        <v>32</v>
      </c>
      <c r="N847" t="s">
        <v>33</v>
      </c>
      <c r="O847" s="2">
        <f>_Salesdata[[#This Row],[Unit_Price]] * _Salesdata[[#This Row],[Quantity_Sold]]</f>
        <v>197563.1</v>
      </c>
      <c r="P847" s="2">
        <f>_Salesdata[[#This Row],[Unit_Cost]] * _Salesdata[[#This Row],[Quantity_Sold]]</f>
        <v>191981.92</v>
      </c>
      <c r="Q847" s="2">
        <f>_Salesdata[[#This Row],[Gross_Sales]] - _Salesdata[[#This Row],[Total Cost]]</f>
        <v>5581.179999999993</v>
      </c>
      <c r="R847" s="2"/>
    </row>
    <row r="848" spans="1:18" x14ac:dyDescent="0.25">
      <c r="A848">
        <v>1090</v>
      </c>
      <c r="B848" s="1">
        <v>44951</v>
      </c>
      <c r="C848" t="s">
        <v>35</v>
      </c>
      <c r="D848" t="s">
        <v>40</v>
      </c>
      <c r="E848" s="2">
        <v>2381.12</v>
      </c>
      <c r="F848">
        <v>17</v>
      </c>
      <c r="G848" t="s">
        <v>19</v>
      </c>
      <c r="H848" s="2">
        <v>4190.26</v>
      </c>
      <c r="I848" s="2">
        <v>4645.3500000000004</v>
      </c>
      <c r="J848" t="s">
        <v>27</v>
      </c>
      <c r="K848">
        <v>0.12</v>
      </c>
      <c r="L848" t="s">
        <v>28</v>
      </c>
      <c r="M848" t="s">
        <v>32</v>
      </c>
      <c r="N848" t="s">
        <v>43</v>
      </c>
      <c r="O848" s="2">
        <f>_Salesdata[[#This Row],[Unit_Price]] * _Salesdata[[#This Row],[Quantity_Sold]]</f>
        <v>78970.950000000012</v>
      </c>
      <c r="P848" s="2">
        <f>_Salesdata[[#This Row],[Unit_Cost]] * _Salesdata[[#This Row],[Quantity_Sold]]</f>
        <v>71234.42</v>
      </c>
      <c r="Q848" s="2">
        <f>_Salesdata[[#This Row],[Gross_Sales]] - _Salesdata[[#This Row],[Total Cost]]</f>
        <v>7736.5300000000134</v>
      </c>
      <c r="R848" s="2"/>
    </row>
    <row r="849" spans="1:18" x14ac:dyDescent="0.25">
      <c r="A849">
        <v>1003</v>
      </c>
      <c r="B849" s="1">
        <v>45291</v>
      </c>
      <c r="C849" t="s">
        <v>24</v>
      </c>
      <c r="D849" t="s">
        <v>40</v>
      </c>
      <c r="E849" s="2">
        <v>4775.59</v>
      </c>
      <c r="F849">
        <v>30</v>
      </c>
      <c r="G849" t="s">
        <v>39</v>
      </c>
      <c r="H849" s="2">
        <v>4190.28</v>
      </c>
      <c r="I849" s="2">
        <v>4270.6499999999996</v>
      </c>
      <c r="J849" t="s">
        <v>27</v>
      </c>
      <c r="K849">
        <v>0.2</v>
      </c>
      <c r="L849" t="s">
        <v>21</v>
      </c>
      <c r="M849" t="s">
        <v>22</v>
      </c>
      <c r="N849" t="s">
        <v>55</v>
      </c>
      <c r="O849" s="2">
        <f>_Salesdata[[#This Row],[Unit_Price]] * _Salesdata[[#This Row],[Quantity_Sold]]</f>
        <v>128119.49999999999</v>
      </c>
      <c r="P849" s="2">
        <f>_Salesdata[[#This Row],[Unit_Cost]] * _Salesdata[[#This Row],[Quantity_Sold]]</f>
        <v>125708.4</v>
      </c>
      <c r="Q849" s="2">
        <f>_Salesdata[[#This Row],[Gross_Sales]] - _Salesdata[[#This Row],[Total Cost]]</f>
        <v>2411.0999999999913</v>
      </c>
      <c r="R849" s="2"/>
    </row>
    <row r="850" spans="1:18" x14ac:dyDescent="0.25">
      <c r="A850">
        <v>1012</v>
      </c>
      <c r="B850" s="1">
        <v>45250</v>
      </c>
      <c r="C850" t="s">
        <v>17</v>
      </c>
      <c r="D850" t="s">
        <v>37</v>
      </c>
      <c r="E850" s="2">
        <v>5858.06</v>
      </c>
      <c r="F850">
        <v>1</v>
      </c>
      <c r="G850" t="s">
        <v>31</v>
      </c>
      <c r="H850" s="2">
        <v>4190.83</v>
      </c>
      <c r="I850" s="2">
        <v>4528.7699999999904</v>
      </c>
      <c r="J850" t="s">
        <v>20</v>
      </c>
      <c r="K850">
        <v>0.22</v>
      </c>
      <c r="L850" t="s">
        <v>44</v>
      </c>
      <c r="M850" t="s">
        <v>22</v>
      </c>
      <c r="N850" t="s">
        <v>47</v>
      </c>
      <c r="O850" s="2">
        <f>_Salesdata[[#This Row],[Unit_Price]] * _Salesdata[[#This Row],[Quantity_Sold]]</f>
        <v>4528.7699999999904</v>
      </c>
      <c r="P850" s="2">
        <f>_Salesdata[[#This Row],[Unit_Cost]] * _Salesdata[[#This Row],[Quantity_Sold]]</f>
        <v>4190.83</v>
      </c>
      <c r="Q850" s="2">
        <f>_Salesdata[[#This Row],[Gross_Sales]] - _Salesdata[[#This Row],[Total Cost]]</f>
        <v>337.9399999999905</v>
      </c>
      <c r="R850" s="2"/>
    </row>
    <row r="851" spans="1:18" x14ac:dyDescent="0.25">
      <c r="A851">
        <v>1055</v>
      </c>
      <c r="B851" s="1">
        <v>45113</v>
      </c>
      <c r="C851" t="s">
        <v>48</v>
      </c>
      <c r="D851" t="s">
        <v>40</v>
      </c>
      <c r="E851" s="2">
        <v>1242.4100000000001</v>
      </c>
      <c r="F851">
        <v>16</v>
      </c>
      <c r="G851" t="s">
        <v>19</v>
      </c>
      <c r="H851" s="2">
        <v>4195.38</v>
      </c>
      <c r="I851" s="2">
        <v>4461.51</v>
      </c>
      <c r="J851" t="s">
        <v>20</v>
      </c>
      <c r="K851">
        <v>0.09</v>
      </c>
      <c r="L851" t="s">
        <v>44</v>
      </c>
      <c r="M851" t="s">
        <v>22</v>
      </c>
      <c r="N851" t="s">
        <v>50</v>
      </c>
      <c r="O851" s="2">
        <f>_Salesdata[[#This Row],[Unit_Price]] * _Salesdata[[#This Row],[Quantity_Sold]]</f>
        <v>71384.160000000003</v>
      </c>
      <c r="P851" s="2">
        <f>_Salesdata[[#This Row],[Unit_Cost]] * _Salesdata[[#This Row],[Quantity_Sold]]</f>
        <v>67126.080000000002</v>
      </c>
      <c r="Q851" s="2">
        <f>_Salesdata[[#This Row],[Gross_Sales]] - _Salesdata[[#This Row],[Total Cost]]</f>
        <v>4258.0800000000017</v>
      </c>
      <c r="R851" s="2"/>
    </row>
    <row r="852" spans="1:18" x14ac:dyDescent="0.25">
      <c r="A852">
        <v>1054</v>
      </c>
      <c r="B852" s="1">
        <v>44950</v>
      </c>
      <c r="C852" t="s">
        <v>17</v>
      </c>
      <c r="D852" t="s">
        <v>18</v>
      </c>
      <c r="E852" s="2">
        <v>6624.55</v>
      </c>
      <c r="F852">
        <v>22</v>
      </c>
      <c r="G852" t="s">
        <v>26</v>
      </c>
      <c r="H852" s="2">
        <v>4200.08</v>
      </c>
      <c r="I852" s="2">
        <v>4647.28</v>
      </c>
      <c r="J852" t="s">
        <v>20</v>
      </c>
      <c r="K852">
        <v>0.11</v>
      </c>
      <c r="L852" t="s">
        <v>21</v>
      </c>
      <c r="M852" t="s">
        <v>22</v>
      </c>
      <c r="N852" t="s">
        <v>23</v>
      </c>
      <c r="O852" s="2">
        <f>_Salesdata[[#This Row],[Unit_Price]] * _Salesdata[[#This Row],[Quantity_Sold]]</f>
        <v>102240.15999999999</v>
      </c>
      <c r="P852" s="2">
        <f>_Salesdata[[#This Row],[Unit_Cost]] * _Salesdata[[#This Row],[Quantity_Sold]]</f>
        <v>92401.76</v>
      </c>
      <c r="Q852" s="2">
        <f>_Salesdata[[#This Row],[Gross_Sales]] - _Salesdata[[#This Row],[Total Cost]]</f>
        <v>9838.3999999999942</v>
      </c>
      <c r="R852" s="2"/>
    </row>
    <row r="853" spans="1:18" x14ac:dyDescent="0.25">
      <c r="A853">
        <v>1093</v>
      </c>
      <c r="B853" s="1">
        <v>45045</v>
      </c>
      <c r="C853" t="s">
        <v>24</v>
      </c>
      <c r="D853" t="s">
        <v>37</v>
      </c>
      <c r="E853" s="2">
        <v>7353.72</v>
      </c>
      <c r="F853">
        <v>34</v>
      </c>
      <c r="G853" t="s">
        <v>31</v>
      </c>
      <c r="H853" s="2">
        <v>4201.1099999999997</v>
      </c>
      <c r="I853" s="2">
        <v>4436.5</v>
      </c>
      <c r="J853" t="s">
        <v>27</v>
      </c>
      <c r="K853">
        <v>0.05</v>
      </c>
      <c r="L853" t="s">
        <v>21</v>
      </c>
      <c r="M853" t="s">
        <v>22</v>
      </c>
      <c r="N853" t="s">
        <v>53</v>
      </c>
      <c r="O853" s="2">
        <f>_Salesdata[[#This Row],[Unit_Price]] * _Salesdata[[#This Row],[Quantity_Sold]]</f>
        <v>150841</v>
      </c>
      <c r="P853" s="2">
        <f>_Salesdata[[#This Row],[Unit_Cost]] * _Salesdata[[#This Row],[Quantity_Sold]]</f>
        <v>142837.74</v>
      </c>
      <c r="Q853" s="2">
        <f>_Salesdata[[#This Row],[Gross_Sales]] - _Salesdata[[#This Row],[Total Cost]]</f>
        <v>8003.2600000000093</v>
      </c>
      <c r="R853" s="2"/>
    </row>
    <row r="854" spans="1:18" x14ac:dyDescent="0.25">
      <c r="A854">
        <v>1040</v>
      </c>
      <c r="B854" s="1">
        <v>44995</v>
      </c>
      <c r="C854" t="s">
        <v>24</v>
      </c>
      <c r="D854" t="s">
        <v>18</v>
      </c>
      <c r="E854" s="2">
        <v>1004.78</v>
      </c>
      <c r="F854">
        <v>42</v>
      </c>
      <c r="G854" t="s">
        <v>26</v>
      </c>
      <c r="H854" s="2">
        <v>4205.29</v>
      </c>
      <c r="I854" s="2">
        <v>4382.3500000000004</v>
      </c>
      <c r="J854" t="s">
        <v>27</v>
      </c>
      <c r="K854">
        <v>0.25</v>
      </c>
      <c r="L854" t="s">
        <v>21</v>
      </c>
      <c r="M854" t="s">
        <v>32</v>
      </c>
      <c r="N854" t="s">
        <v>46</v>
      </c>
      <c r="O854" s="2">
        <f>_Salesdata[[#This Row],[Unit_Price]] * _Salesdata[[#This Row],[Quantity_Sold]]</f>
        <v>184058.7</v>
      </c>
      <c r="P854" s="2">
        <f>_Salesdata[[#This Row],[Unit_Cost]] * _Salesdata[[#This Row],[Quantity_Sold]]</f>
        <v>176622.18</v>
      </c>
      <c r="Q854" s="2">
        <f>_Salesdata[[#This Row],[Gross_Sales]] - _Salesdata[[#This Row],[Total Cost]]</f>
        <v>7436.5200000000186</v>
      </c>
      <c r="R854" s="2"/>
    </row>
    <row r="855" spans="1:18" x14ac:dyDescent="0.25">
      <c r="A855">
        <v>1042</v>
      </c>
      <c r="B855" s="1">
        <v>45130</v>
      </c>
      <c r="C855" t="s">
        <v>35</v>
      </c>
      <c r="D855" t="s">
        <v>25</v>
      </c>
      <c r="E855" s="2">
        <v>8417.07</v>
      </c>
      <c r="F855">
        <v>26</v>
      </c>
      <c r="G855" t="s">
        <v>26</v>
      </c>
      <c r="H855" s="2">
        <v>4208.09</v>
      </c>
      <c r="I855" s="2">
        <v>4226.5600000000004</v>
      </c>
      <c r="J855" t="s">
        <v>20</v>
      </c>
      <c r="K855">
        <v>0.28999999999999998</v>
      </c>
      <c r="L855" t="s">
        <v>21</v>
      </c>
      <c r="M855" t="s">
        <v>32</v>
      </c>
      <c r="N855" t="s">
        <v>56</v>
      </c>
      <c r="O855" s="2">
        <f>_Salesdata[[#This Row],[Unit_Price]] * _Salesdata[[#This Row],[Quantity_Sold]]</f>
        <v>109890.56000000001</v>
      </c>
      <c r="P855" s="2">
        <f>_Salesdata[[#This Row],[Unit_Cost]] * _Salesdata[[#This Row],[Quantity_Sold]]</f>
        <v>109410.34</v>
      </c>
      <c r="Q855" s="2">
        <f>_Salesdata[[#This Row],[Gross_Sales]] - _Salesdata[[#This Row],[Total Cost]]</f>
        <v>480.22000000001572</v>
      </c>
      <c r="R855" s="2"/>
    </row>
    <row r="856" spans="1:18" x14ac:dyDescent="0.25">
      <c r="A856">
        <v>1003</v>
      </c>
      <c r="B856" s="1">
        <v>45180</v>
      </c>
      <c r="C856" t="s">
        <v>30</v>
      </c>
      <c r="D856" t="s">
        <v>18</v>
      </c>
      <c r="E856" s="2">
        <v>9514.19</v>
      </c>
      <c r="F856">
        <v>22</v>
      </c>
      <c r="G856" t="s">
        <v>31</v>
      </c>
      <c r="H856" s="2">
        <v>4218.43</v>
      </c>
      <c r="I856" s="2">
        <v>4331.42</v>
      </c>
      <c r="J856" t="s">
        <v>27</v>
      </c>
      <c r="K856">
        <v>0.26</v>
      </c>
      <c r="L856" t="s">
        <v>44</v>
      </c>
      <c r="M856" t="s">
        <v>22</v>
      </c>
      <c r="N856" t="s">
        <v>33</v>
      </c>
      <c r="O856" s="2">
        <f>_Salesdata[[#This Row],[Unit_Price]] * _Salesdata[[#This Row],[Quantity_Sold]]</f>
        <v>95291.24</v>
      </c>
      <c r="P856" s="2">
        <f>_Salesdata[[#This Row],[Unit_Cost]] * _Salesdata[[#This Row],[Quantity_Sold]]</f>
        <v>92805.46</v>
      </c>
      <c r="Q856" s="2">
        <f>_Salesdata[[#This Row],[Gross_Sales]] - _Salesdata[[#This Row],[Total Cost]]</f>
        <v>2485.7799999999988</v>
      </c>
      <c r="R856" s="2"/>
    </row>
    <row r="857" spans="1:18" x14ac:dyDescent="0.25">
      <c r="A857">
        <v>1089</v>
      </c>
      <c r="B857" s="1">
        <v>45162</v>
      </c>
      <c r="C857" t="s">
        <v>48</v>
      </c>
      <c r="D857" t="s">
        <v>37</v>
      </c>
      <c r="E857" s="2">
        <v>2528.9899999999998</v>
      </c>
      <c r="F857">
        <v>4</v>
      </c>
      <c r="G857" t="s">
        <v>39</v>
      </c>
      <c r="H857" s="2">
        <v>4231.75</v>
      </c>
      <c r="I857" s="2">
        <v>4727.75</v>
      </c>
      <c r="J857" t="s">
        <v>20</v>
      </c>
      <c r="K857">
        <v>0.12</v>
      </c>
      <c r="L857" t="s">
        <v>28</v>
      </c>
      <c r="M857" t="s">
        <v>32</v>
      </c>
      <c r="N857" t="s">
        <v>52</v>
      </c>
      <c r="O857" s="2">
        <f>_Salesdata[[#This Row],[Unit_Price]] * _Salesdata[[#This Row],[Quantity_Sold]]</f>
        <v>18911</v>
      </c>
      <c r="P857" s="2">
        <f>_Salesdata[[#This Row],[Unit_Cost]] * _Salesdata[[#This Row],[Quantity_Sold]]</f>
        <v>16927</v>
      </c>
      <c r="Q857" s="2">
        <f>_Salesdata[[#This Row],[Gross_Sales]] - _Salesdata[[#This Row],[Total Cost]]</f>
        <v>1984</v>
      </c>
      <c r="R857" s="2"/>
    </row>
    <row r="858" spans="1:18" x14ac:dyDescent="0.25">
      <c r="A858">
        <v>1027</v>
      </c>
      <c r="B858" s="1">
        <v>45149</v>
      </c>
      <c r="C858" t="s">
        <v>48</v>
      </c>
      <c r="D858" t="s">
        <v>37</v>
      </c>
      <c r="E858" s="2">
        <v>1657</v>
      </c>
      <c r="F858">
        <v>43</v>
      </c>
      <c r="G858" t="s">
        <v>19</v>
      </c>
      <c r="H858" s="2">
        <v>4232.6099999999997</v>
      </c>
      <c r="I858" s="2">
        <v>4572.21</v>
      </c>
      <c r="J858" t="s">
        <v>27</v>
      </c>
      <c r="K858">
        <v>0.01</v>
      </c>
      <c r="L858" t="s">
        <v>21</v>
      </c>
      <c r="M858" t="s">
        <v>32</v>
      </c>
      <c r="N858" t="s">
        <v>52</v>
      </c>
      <c r="O858" s="2">
        <f>_Salesdata[[#This Row],[Unit_Price]] * _Salesdata[[#This Row],[Quantity_Sold]]</f>
        <v>196605.03</v>
      </c>
      <c r="P858" s="2">
        <f>_Salesdata[[#This Row],[Unit_Cost]] * _Salesdata[[#This Row],[Quantity_Sold]]</f>
        <v>182002.22999999998</v>
      </c>
      <c r="Q858" s="2">
        <f>_Salesdata[[#This Row],[Gross_Sales]] - _Salesdata[[#This Row],[Total Cost]]</f>
        <v>14602.800000000017</v>
      </c>
      <c r="R858" s="2"/>
    </row>
    <row r="859" spans="1:18" x14ac:dyDescent="0.25">
      <c r="A859">
        <v>1033</v>
      </c>
      <c r="B859" s="1">
        <v>44965</v>
      </c>
      <c r="C859" t="s">
        <v>48</v>
      </c>
      <c r="D859" t="s">
        <v>37</v>
      </c>
      <c r="E859" s="2">
        <v>8395.2900000000009</v>
      </c>
      <c r="F859">
        <v>39</v>
      </c>
      <c r="G859" t="s">
        <v>26</v>
      </c>
      <c r="H859" s="2">
        <v>4232.8100000000004</v>
      </c>
      <c r="I859" s="2">
        <v>4345.25</v>
      </c>
      <c r="J859" t="s">
        <v>20</v>
      </c>
      <c r="K859">
        <v>0.12</v>
      </c>
      <c r="L859" t="s">
        <v>44</v>
      </c>
      <c r="M859" t="s">
        <v>22</v>
      </c>
      <c r="N859" t="s">
        <v>52</v>
      </c>
      <c r="O859" s="2">
        <f>_Salesdata[[#This Row],[Unit_Price]] * _Salesdata[[#This Row],[Quantity_Sold]]</f>
        <v>169464.75</v>
      </c>
      <c r="P859" s="2">
        <f>_Salesdata[[#This Row],[Unit_Cost]] * _Salesdata[[#This Row],[Quantity_Sold]]</f>
        <v>165079.59000000003</v>
      </c>
      <c r="Q859" s="2">
        <f>_Salesdata[[#This Row],[Gross_Sales]] - _Salesdata[[#This Row],[Total Cost]]</f>
        <v>4385.1599999999744</v>
      </c>
      <c r="R859" s="2"/>
    </row>
    <row r="860" spans="1:18" x14ac:dyDescent="0.25">
      <c r="A860">
        <v>1031</v>
      </c>
      <c r="B860" s="1">
        <v>45268</v>
      </c>
      <c r="C860" t="s">
        <v>30</v>
      </c>
      <c r="D860" t="s">
        <v>37</v>
      </c>
      <c r="E860" s="2">
        <v>7567.06</v>
      </c>
      <c r="F860">
        <v>22</v>
      </c>
      <c r="G860" t="s">
        <v>31</v>
      </c>
      <c r="H860" s="2">
        <v>4236.05</v>
      </c>
      <c r="I860" s="2">
        <v>4382.32</v>
      </c>
      <c r="J860" t="s">
        <v>27</v>
      </c>
      <c r="K860">
        <v>0.2</v>
      </c>
      <c r="L860" t="s">
        <v>44</v>
      </c>
      <c r="M860" t="s">
        <v>22</v>
      </c>
      <c r="N860" t="s">
        <v>51</v>
      </c>
      <c r="O860" s="2">
        <f>_Salesdata[[#This Row],[Unit_Price]] * _Salesdata[[#This Row],[Quantity_Sold]]</f>
        <v>96411.04</v>
      </c>
      <c r="P860" s="2">
        <f>_Salesdata[[#This Row],[Unit_Cost]] * _Salesdata[[#This Row],[Quantity_Sold]]</f>
        <v>93193.1</v>
      </c>
      <c r="Q860" s="2">
        <f>_Salesdata[[#This Row],[Gross_Sales]] - _Salesdata[[#This Row],[Total Cost]]</f>
        <v>3217.9399999999878</v>
      </c>
      <c r="R860" s="2"/>
    </row>
    <row r="861" spans="1:18" x14ac:dyDescent="0.25">
      <c r="A861">
        <v>1049</v>
      </c>
      <c r="B861" s="1">
        <v>45229</v>
      </c>
      <c r="C861" t="s">
        <v>24</v>
      </c>
      <c r="D861" t="s">
        <v>18</v>
      </c>
      <c r="E861" s="2">
        <v>2947.56</v>
      </c>
      <c r="F861">
        <v>38</v>
      </c>
      <c r="G861" t="s">
        <v>31</v>
      </c>
      <c r="H861" s="2">
        <v>4243.9799999999996</v>
      </c>
      <c r="I861" s="2">
        <v>4474.5099999999902</v>
      </c>
      <c r="J861" t="s">
        <v>27</v>
      </c>
      <c r="K861">
        <v>0.01</v>
      </c>
      <c r="L861" t="s">
        <v>28</v>
      </c>
      <c r="M861" t="s">
        <v>22</v>
      </c>
      <c r="N861" t="s">
        <v>46</v>
      </c>
      <c r="O861" s="2">
        <f>_Salesdata[[#This Row],[Unit_Price]] * _Salesdata[[#This Row],[Quantity_Sold]]</f>
        <v>170031.37999999963</v>
      </c>
      <c r="P861" s="2">
        <f>_Salesdata[[#This Row],[Unit_Cost]] * _Salesdata[[#This Row],[Quantity_Sold]]</f>
        <v>161271.24</v>
      </c>
      <c r="Q861" s="2">
        <f>_Salesdata[[#This Row],[Gross_Sales]] - _Salesdata[[#This Row],[Total Cost]]</f>
        <v>8760.1399999996356</v>
      </c>
      <c r="R861" s="2"/>
    </row>
    <row r="862" spans="1:18" x14ac:dyDescent="0.25">
      <c r="A862">
        <v>1089</v>
      </c>
      <c r="B862" s="1">
        <v>45285</v>
      </c>
      <c r="C862" t="s">
        <v>48</v>
      </c>
      <c r="D862" t="s">
        <v>40</v>
      </c>
      <c r="E862" s="2">
        <v>2032.88</v>
      </c>
      <c r="F862">
        <v>32</v>
      </c>
      <c r="G862" t="s">
        <v>19</v>
      </c>
      <c r="H862" s="2">
        <v>4248.5</v>
      </c>
      <c r="I862" s="2">
        <v>4706.7</v>
      </c>
      <c r="J862" t="s">
        <v>27</v>
      </c>
      <c r="K862">
        <v>0.01</v>
      </c>
      <c r="L862" t="s">
        <v>44</v>
      </c>
      <c r="M862" t="s">
        <v>32</v>
      </c>
      <c r="N862" t="s">
        <v>50</v>
      </c>
      <c r="O862" s="2">
        <f>_Salesdata[[#This Row],[Unit_Price]] * _Salesdata[[#This Row],[Quantity_Sold]]</f>
        <v>150614.39999999999</v>
      </c>
      <c r="P862" s="2">
        <f>_Salesdata[[#This Row],[Unit_Cost]] * _Salesdata[[#This Row],[Quantity_Sold]]</f>
        <v>135952</v>
      </c>
      <c r="Q862" s="2">
        <f>_Salesdata[[#This Row],[Gross_Sales]] - _Salesdata[[#This Row],[Total Cost]]</f>
        <v>14662.399999999994</v>
      </c>
      <c r="R862" s="2"/>
    </row>
    <row r="863" spans="1:18" x14ac:dyDescent="0.25">
      <c r="A863">
        <v>1053</v>
      </c>
      <c r="B863" s="1">
        <v>45063</v>
      </c>
      <c r="C863" t="s">
        <v>17</v>
      </c>
      <c r="D863" t="s">
        <v>40</v>
      </c>
      <c r="E863" s="2">
        <v>7835.09</v>
      </c>
      <c r="F863">
        <v>36</v>
      </c>
      <c r="G863" t="s">
        <v>19</v>
      </c>
      <c r="H863" s="2">
        <v>4252.17</v>
      </c>
      <c r="I863" s="2">
        <v>4720.2700000000004</v>
      </c>
      <c r="J863" t="s">
        <v>27</v>
      </c>
      <c r="K863">
        <v>0.09</v>
      </c>
      <c r="L863" t="s">
        <v>21</v>
      </c>
      <c r="M863" t="s">
        <v>32</v>
      </c>
      <c r="N863" t="s">
        <v>42</v>
      </c>
      <c r="O863" s="2">
        <f>_Salesdata[[#This Row],[Unit_Price]] * _Salesdata[[#This Row],[Quantity_Sold]]</f>
        <v>169929.72000000003</v>
      </c>
      <c r="P863" s="2">
        <f>_Salesdata[[#This Row],[Unit_Cost]] * _Salesdata[[#This Row],[Quantity_Sold]]</f>
        <v>153078.12</v>
      </c>
      <c r="Q863" s="2">
        <f>_Salesdata[[#This Row],[Gross_Sales]] - _Salesdata[[#This Row],[Total Cost]]</f>
        <v>16851.600000000035</v>
      </c>
      <c r="R863" s="2"/>
    </row>
    <row r="864" spans="1:18" x14ac:dyDescent="0.25">
      <c r="A864">
        <v>1095</v>
      </c>
      <c r="B864" s="1">
        <v>45256</v>
      </c>
      <c r="C864" t="s">
        <v>35</v>
      </c>
      <c r="D864" t="s">
        <v>25</v>
      </c>
      <c r="E864" s="2">
        <v>8231.74</v>
      </c>
      <c r="F864">
        <v>7</v>
      </c>
      <c r="G864" t="s">
        <v>31</v>
      </c>
      <c r="H864" s="2">
        <v>4257.24</v>
      </c>
      <c r="I864" s="2">
        <v>4355.87</v>
      </c>
      <c r="J864" t="s">
        <v>20</v>
      </c>
      <c r="K864">
        <v>0.03</v>
      </c>
      <c r="L864" t="s">
        <v>44</v>
      </c>
      <c r="M864" t="s">
        <v>22</v>
      </c>
      <c r="N864" t="s">
        <v>56</v>
      </c>
      <c r="O864" s="2">
        <f>_Salesdata[[#This Row],[Unit_Price]] * _Salesdata[[#This Row],[Quantity_Sold]]</f>
        <v>30491.09</v>
      </c>
      <c r="P864" s="2">
        <f>_Salesdata[[#This Row],[Unit_Cost]] * _Salesdata[[#This Row],[Quantity_Sold]]</f>
        <v>29800.68</v>
      </c>
      <c r="Q864" s="2">
        <f>_Salesdata[[#This Row],[Gross_Sales]] - _Salesdata[[#This Row],[Total Cost]]</f>
        <v>690.40999999999985</v>
      </c>
      <c r="R864" s="2"/>
    </row>
    <row r="865" spans="1:18" x14ac:dyDescent="0.25">
      <c r="A865">
        <v>1043</v>
      </c>
      <c r="B865" s="1">
        <v>45141</v>
      </c>
      <c r="C865" t="s">
        <v>30</v>
      </c>
      <c r="D865" t="s">
        <v>18</v>
      </c>
      <c r="E865" s="2">
        <v>6601.89</v>
      </c>
      <c r="F865">
        <v>22</v>
      </c>
      <c r="G865" t="s">
        <v>26</v>
      </c>
      <c r="H865" s="2">
        <v>4260</v>
      </c>
      <c r="I865" s="2">
        <v>4656.58</v>
      </c>
      <c r="J865" t="s">
        <v>27</v>
      </c>
      <c r="K865">
        <v>0</v>
      </c>
      <c r="L865" t="s">
        <v>44</v>
      </c>
      <c r="M865" t="s">
        <v>22</v>
      </c>
      <c r="N865" t="s">
        <v>33</v>
      </c>
      <c r="O865" s="2">
        <f>_Salesdata[[#This Row],[Unit_Price]] * _Salesdata[[#This Row],[Quantity_Sold]]</f>
        <v>102444.76</v>
      </c>
      <c r="P865" s="2">
        <f>_Salesdata[[#This Row],[Unit_Cost]] * _Salesdata[[#This Row],[Quantity_Sold]]</f>
        <v>93720</v>
      </c>
      <c r="Q865" s="2">
        <f>_Salesdata[[#This Row],[Gross_Sales]] - _Salesdata[[#This Row],[Total Cost]]</f>
        <v>8724.7599999999948</v>
      </c>
      <c r="R865" s="2"/>
    </row>
    <row r="866" spans="1:18" x14ac:dyDescent="0.25">
      <c r="A866">
        <v>1048</v>
      </c>
      <c r="B866" s="1">
        <v>45018</v>
      </c>
      <c r="C866" t="s">
        <v>30</v>
      </c>
      <c r="D866" t="s">
        <v>40</v>
      </c>
      <c r="E866" s="2">
        <v>9673.65</v>
      </c>
      <c r="F866">
        <v>45</v>
      </c>
      <c r="G866" t="s">
        <v>26</v>
      </c>
      <c r="H866" s="2">
        <v>4262.21</v>
      </c>
      <c r="I866" s="2">
        <v>4533.3100000000004</v>
      </c>
      <c r="J866" t="s">
        <v>20</v>
      </c>
      <c r="K866">
        <v>0.27</v>
      </c>
      <c r="L866" t="s">
        <v>28</v>
      </c>
      <c r="M866" t="s">
        <v>22</v>
      </c>
      <c r="N866" t="s">
        <v>41</v>
      </c>
      <c r="O866" s="2">
        <f>_Salesdata[[#This Row],[Unit_Price]] * _Salesdata[[#This Row],[Quantity_Sold]]</f>
        <v>203998.95</v>
      </c>
      <c r="P866" s="2">
        <f>_Salesdata[[#This Row],[Unit_Cost]] * _Salesdata[[#This Row],[Quantity_Sold]]</f>
        <v>191799.45</v>
      </c>
      <c r="Q866" s="2">
        <f>_Salesdata[[#This Row],[Gross_Sales]] - _Salesdata[[#This Row],[Total Cost]]</f>
        <v>12199.5</v>
      </c>
      <c r="R866" s="2"/>
    </row>
    <row r="867" spans="1:18" x14ac:dyDescent="0.25">
      <c r="A867">
        <v>1097</v>
      </c>
      <c r="B867" s="1">
        <v>45229</v>
      </c>
      <c r="C867" t="s">
        <v>48</v>
      </c>
      <c r="D867" t="s">
        <v>25</v>
      </c>
      <c r="E867" s="2">
        <v>6600.65</v>
      </c>
      <c r="F867">
        <v>49</v>
      </c>
      <c r="G867" t="s">
        <v>26</v>
      </c>
      <c r="H867" s="2">
        <v>4264.46</v>
      </c>
      <c r="I867" s="2">
        <v>4315.5200000000004</v>
      </c>
      <c r="J867" t="s">
        <v>27</v>
      </c>
      <c r="K867">
        <v>7.0000000000000007E-2</v>
      </c>
      <c r="L867" t="s">
        <v>21</v>
      </c>
      <c r="M867" t="s">
        <v>32</v>
      </c>
      <c r="N867" t="s">
        <v>49</v>
      </c>
      <c r="O867" s="2">
        <f>_Salesdata[[#This Row],[Unit_Price]] * _Salesdata[[#This Row],[Quantity_Sold]]</f>
        <v>211460.48000000001</v>
      </c>
      <c r="P867" s="2">
        <f>_Salesdata[[#This Row],[Unit_Cost]] * _Salesdata[[#This Row],[Quantity_Sold]]</f>
        <v>208958.54</v>
      </c>
      <c r="Q867" s="2">
        <f>_Salesdata[[#This Row],[Gross_Sales]] - _Salesdata[[#This Row],[Total Cost]]</f>
        <v>2501.9400000000023</v>
      </c>
      <c r="R867" s="2"/>
    </row>
    <row r="868" spans="1:18" x14ac:dyDescent="0.25">
      <c r="A868">
        <v>1036</v>
      </c>
      <c r="B868" s="1">
        <v>44963</v>
      </c>
      <c r="C868" t="s">
        <v>35</v>
      </c>
      <c r="D868" t="s">
        <v>18</v>
      </c>
      <c r="E868" s="2">
        <v>6242.69</v>
      </c>
      <c r="F868">
        <v>26</v>
      </c>
      <c r="G868" t="s">
        <v>26</v>
      </c>
      <c r="H868" s="2">
        <v>4266.3599999999997</v>
      </c>
      <c r="I868" s="2">
        <v>4331.4299999999903</v>
      </c>
      <c r="J868" t="s">
        <v>20</v>
      </c>
      <c r="K868">
        <v>0.14000000000000001</v>
      </c>
      <c r="L868" t="s">
        <v>28</v>
      </c>
      <c r="M868" t="s">
        <v>32</v>
      </c>
      <c r="N868" t="s">
        <v>36</v>
      </c>
      <c r="O868" s="2">
        <f>_Salesdata[[#This Row],[Unit_Price]] * _Salesdata[[#This Row],[Quantity_Sold]]</f>
        <v>112617.17999999975</v>
      </c>
      <c r="P868" s="2">
        <f>_Salesdata[[#This Row],[Unit_Cost]] * _Salesdata[[#This Row],[Quantity_Sold]]</f>
        <v>110925.35999999999</v>
      </c>
      <c r="Q868" s="2">
        <f>_Salesdata[[#This Row],[Gross_Sales]] - _Salesdata[[#This Row],[Total Cost]]</f>
        <v>1691.8199999997596</v>
      </c>
      <c r="R868" s="2"/>
    </row>
    <row r="869" spans="1:18" x14ac:dyDescent="0.25">
      <c r="A869">
        <v>1095</v>
      </c>
      <c r="B869" s="1">
        <v>45237</v>
      </c>
      <c r="C869" t="s">
        <v>35</v>
      </c>
      <c r="D869" t="s">
        <v>25</v>
      </c>
      <c r="E869" s="2">
        <v>6970.1</v>
      </c>
      <c r="F869">
        <v>32</v>
      </c>
      <c r="G869" t="s">
        <v>19</v>
      </c>
      <c r="H869" s="2">
        <v>4266.6400000000003</v>
      </c>
      <c r="I869" s="2">
        <v>4523.3599999999997</v>
      </c>
      <c r="J869" t="s">
        <v>27</v>
      </c>
      <c r="K869">
        <v>0.3</v>
      </c>
      <c r="L869" t="s">
        <v>44</v>
      </c>
      <c r="M869" t="s">
        <v>32</v>
      </c>
      <c r="N869" t="s">
        <v>56</v>
      </c>
      <c r="O869" s="2">
        <f>_Salesdata[[#This Row],[Unit_Price]] * _Salesdata[[#This Row],[Quantity_Sold]]</f>
        <v>144747.51999999999</v>
      </c>
      <c r="P869" s="2">
        <f>_Salesdata[[#This Row],[Unit_Cost]] * _Salesdata[[#This Row],[Quantity_Sold]]</f>
        <v>136532.48000000001</v>
      </c>
      <c r="Q869" s="2">
        <f>_Salesdata[[#This Row],[Gross_Sales]] - _Salesdata[[#This Row],[Total Cost]]</f>
        <v>8215.039999999979</v>
      </c>
      <c r="R869" s="2"/>
    </row>
    <row r="870" spans="1:18" x14ac:dyDescent="0.25">
      <c r="A870">
        <v>1020</v>
      </c>
      <c r="B870" s="1">
        <v>45270</v>
      </c>
      <c r="C870" t="s">
        <v>17</v>
      </c>
      <c r="D870" t="s">
        <v>37</v>
      </c>
      <c r="E870" s="2">
        <v>9671.77</v>
      </c>
      <c r="F870">
        <v>45</v>
      </c>
      <c r="G870" t="s">
        <v>26</v>
      </c>
      <c r="H870" s="2">
        <v>4268.45</v>
      </c>
      <c r="I870" s="2">
        <v>4551.5999999999904</v>
      </c>
      <c r="J870" t="s">
        <v>27</v>
      </c>
      <c r="K870">
        <v>0.08</v>
      </c>
      <c r="L870" t="s">
        <v>44</v>
      </c>
      <c r="M870" t="s">
        <v>22</v>
      </c>
      <c r="N870" t="s">
        <v>47</v>
      </c>
      <c r="O870" s="2">
        <f>_Salesdata[[#This Row],[Unit_Price]] * _Salesdata[[#This Row],[Quantity_Sold]]</f>
        <v>204821.99999999956</v>
      </c>
      <c r="P870" s="2">
        <f>_Salesdata[[#This Row],[Unit_Cost]] * _Salesdata[[#This Row],[Quantity_Sold]]</f>
        <v>192080.25</v>
      </c>
      <c r="Q870" s="2">
        <f>_Salesdata[[#This Row],[Gross_Sales]] - _Salesdata[[#This Row],[Total Cost]]</f>
        <v>12741.749999999563</v>
      </c>
      <c r="R870" s="2"/>
    </row>
    <row r="871" spans="1:18" x14ac:dyDescent="0.25">
      <c r="A871">
        <v>1064</v>
      </c>
      <c r="B871" s="1">
        <v>45060</v>
      </c>
      <c r="C871" t="s">
        <v>17</v>
      </c>
      <c r="D871" t="s">
        <v>40</v>
      </c>
      <c r="E871" s="2">
        <v>5356.28</v>
      </c>
      <c r="F871">
        <v>8</v>
      </c>
      <c r="G871" t="s">
        <v>26</v>
      </c>
      <c r="H871" s="2">
        <v>4271.99</v>
      </c>
      <c r="I871" s="2">
        <v>4417.79</v>
      </c>
      <c r="J871" t="s">
        <v>20</v>
      </c>
      <c r="K871">
        <v>0.04</v>
      </c>
      <c r="L871" t="s">
        <v>21</v>
      </c>
      <c r="M871" t="s">
        <v>22</v>
      </c>
      <c r="N871" t="s">
        <v>42</v>
      </c>
      <c r="O871" s="2">
        <f>_Salesdata[[#This Row],[Unit_Price]] * _Salesdata[[#This Row],[Quantity_Sold]]</f>
        <v>35342.32</v>
      </c>
      <c r="P871" s="2">
        <f>_Salesdata[[#This Row],[Unit_Cost]] * _Salesdata[[#This Row],[Quantity_Sold]]</f>
        <v>34175.919999999998</v>
      </c>
      <c r="Q871" s="2">
        <f>_Salesdata[[#This Row],[Gross_Sales]] - _Salesdata[[#This Row],[Total Cost]]</f>
        <v>1166.4000000000015</v>
      </c>
      <c r="R871" s="2"/>
    </row>
    <row r="872" spans="1:18" x14ac:dyDescent="0.25">
      <c r="A872">
        <v>1015</v>
      </c>
      <c r="B872" s="1">
        <v>45191</v>
      </c>
      <c r="C872" t="s">
        <v>30</v>
      </c>
      <c r="D872" t="s">
        <v>40</v>
      </c>
      <c r="E872" s="2">
        <v>9914.15</v>
      </c>
      <c r="F872">
        <v>22</v>
      </c>
      <c r="G872" t="s">
        <v>26</v>
      </c>
      <c r="H872" s="2">
        <v>4275.59</v>
      </c>
      <c r="I872" s="2">
        <v>4576.72</v>
      </c>
      <c r="J872" t="s">
        <v>20</v>
      </c>
      <c r="K872">
        <v>0.02</v>
      </c>
      <c r="L872" t="s">
        <v>21</v>
      </c>
      <c r="M872" t="s">
        <v>32</v>
      </c>
      <c r="N872" t="s">
        <v>41</v>
      </c>
      <c r="O872" s="2">
        <f>_Salesdata[[#This Row],[Unit_Price]] * _Salesdata[[#This Row],[Quantity_Sold]]</f>
        <v>100687.84000000001</v>
      </c>
      <c r="P872" s="2">
        <f>_Salesdata[[#This Row],[Unit_Cost]] * _Salesdata[[#This Row],[Quantity_Sold]]</f>
        <v>94062.98000000001</v>
      </c>
      <c r="Q872" s="2">
        <f>_Salesdata[[#This Row],[Gross_Sales]] - _Salesdata[[#This Row],[Total Cost]]</f>
        <v>6624.8600000000006</v>
      </c>
      <c r="R872" s="2"/>
    </row>
    <row r="873" spans="1:18" x14ac:dyDescent="0.25">
      <c r="A873">
        <v>1092</v>
      </c>
      <c r="B873" s="1">
        <v>45169</v>
      </c>
      <c r="C873" t="s">
        <v>48</v>
      </c>
      <c r="D873" t="s">
        <v>40</v>
      </c>
      <c r="E873" s="2">
        <v>9203.36</v>
      </c>
      <c r="F873">
        <v>47</v>
      </c>
      <c r="G873" t="s">
        <v>31</v>
      </c>
      <c r="H873" s="2">
        <v>4284.9799999999996</v>
      </c>
      <c r="I873" s="2">
        <v>4462.3999999999996</v>
      </c>
      <c r="J873" t="s">
        <v>27</v>
      </c>
      <c r="K873">
        <v>0.28000000000000003</v>
      </c>
      <c r="L873" t="s">
        <v>28</v>
      </c>
      <c r="M873" t="s">
        <v>32</v>
      </c>
      <c r="N873" t="s">
        <v>50</v>
      </c>
      <c r="O873" s="2">
        <f>_Salesdata[[#This Row],[Unit_Price]] * _Salesdata[[#This Row],[Quantity_Sold]]</f>
        <v>209732.8</v>
      </c>
      <c r="P873" s="2">
        <f>_Salesdata[[#This Row],[Unit_Cost]] * _Salesdata[[#This Row],[Quantity_Sold]]</f>
        <v>201394.05999999997</v>
      </c>
      <c r="Q873" s="2">
        <f>_Salesdata[[#This Row],[Gross_Sales]] - _Salesdata[[#This Row],[Total Cost]]</f>
        <v>8338.7400000000198</v>
      </c>
      <c r="R873" s="2"/>
    </row>
    <row r="874" spans="1:18" x14ac:dyDescent="0.25">
      <c r="A874">
        <v>1059</v>
      </c>
      <c r="B874" s="1">
        <v>45136</v>
      </c>
      <c r="C874" t="s">
        <v>17</v>
      </c>
      <c r="D874" t="s">
        <v>40</v>
      </c>
      <c r="E874" s="2">
        <v>7678.91</v>
      </c>
      <c r="F874">
        <v>16</v>
      </c>
      <c r="G874" t="s">
        <v>39</v>
      </c>
      <c r="H874" s="2">
        <v>4287.21</v>
      </c>
      <c r="I874" s="2">
        <v>4464.28</v>
      </c>
      <c r="J874" t="s">
        <v>20</v>
      </c>
      <c r="K874">
        <v>0.2</v>
      </c>
      <c r="L874" t="s">
        <v>28</v>
      </c>
      <c r="M874" t="s">
        <v>32</v>
      </c>
      <c r="N874" t="s">
        <v>42</v>
      </c>
      <c r="O874" s="2">
        <f>_Salesdata[[#This Row],[Unit_Price]] * _Salesdata[[#This Row],[Quantity_Sold]]</f>
        <v>71428.479999999996</v>
      </c>
      <c r="P874" s="2">
        <f>_Salesdata[[#This Row],[Unit_Cost]] * _Salesdata[[#This Row],[Quantity_Sold]]</f>
        <v>68595.360000000001</v>
      </c>
      <c r="Q874" s="2">
        <f>_Salesdata[[#This Row],[Gross_Sales]] - _Salesdata[[#This Row],[Total Cost]]</f>
        <v>2833.1199999999953</v>
      </c>
      <c r="R874" s="2"/>
    </row>
    <row r="875" spans="1:18" x14ac:dyDescent="0.25">
      <c r="A875">
        <v>1063</v>
      </c>
      <c r="B875" s="1">
        <v>45056</v>
      </c>
      <c r="C875" t="s">
        <v>30</v>
      </c>
      <c r="D875" t="s">
        <v>18</v>
      </c>
      <c r="E875" s="2">
        <v>5870.97</v>
      </c>
      <c r="F875">
        <v>47</v>
      </c>
      <c r="G875" t="s">
        <v>26</v>
      </c>
      <c r="H875" s="2">
        <v>4291.33</v>
      </c>
      <c r="I875" s="2">
        <v>4658.6400000000003</v>
      </c>
      <c r="J875" t="s">
        <v>27</v>
      </c>
      <c r="K875">
        <v>0.24</v>
      </c>
      <c r="L875" t="s">
        <v>28</v>
      </c>
      <c r="M875" t="s">
        <v>32</v>
      </c>
      <c r="N875" t="s">
        <v>33</v>
      </c>
      <c r="O875" s="2">
        <f>_Salesdata[[#This Row],[Unit_Price]] * _Salesdata[[#This Row],[Quantity_Sold]]</f>
        <v>218956.08000000002</v>
      </c>
      <c r="P875" s="2">
        <f>_Salesdata[[#This Row],[Unit_Cost]] * _Salesdata[[#This Row],[Quantity_Sold]]</f>
        <v>201692.51</v>
      </c>
      <c r="Q875" s="2">
        <f>_Salesdata[[#This Row],[Gross_Sales]] - _Salesdata[[#This Row],[Total Cost]]</f>
        <v>17263.570000000007</v>
      </c>
      <c r="R875" s="2"/>
    </row>
    <row r="876" spans="1:18" x14ac:dyDescent="0.25">
      <c r="A876">
        <v>1084</v>
      </c>
      <c r="B876" s="1">
        <v>45099</v>
      </c>
      <c r="C876" t="s">
        <v>48</v>
      </c>
      <c r="D876" t="s">
        <v>37</v>
      </c>
      <c r="E876" s="2">
        <v>6658.1</v>
      </c>
      <c r="F876">
        <v>49</v>
      </c>
      <c r="G876" t="s">
        <v>39</v>
      </c>
      <c r="H876" s="2">
        <v>4291.97</v>
      </c>
      <c r="I876" s="2">
        <v>4645.6400000000003</v>
      </c>
      <c r="J876" t="s">
        <v>20</v>
      </c>
      <c r="K876">
        <v>0.26</v>
      </c>
      <c r="L876" t="s">
        <v>28</v>
      </c>
      <c r="M876" t="s">
        <v>22</v>
      </c>
      <c r="N876" t="s">
        <v>52</v>
      </c>
      <c r="O876" s="2">
        <f>_Salesdata[[#This Row],[Unit_Price]] * _Salesdata[[#This Row],[Quantity_Sold]]</f>
        <v>227636.36000000002</v>
      </c>
      <c r="P876" s="2">
        <f>_Salesdata[[#This Row],[Unit_Cost]] * _Salesdata[[#This Row],[Quantity_Sold]]</f>
        <v>210306.53</v>
      </c>
      <c r="Q876" s="2">
        <f>_Salesdata[[#This Row],[Gross_Sales]] - _Salesdata[[#This Row],[Total Cost]]</f>
        <v>17329.830000000016</v>
      </c>
      <c r="R876" s="2"/>
    </row>
    <row r="877" spans="1:18" x14ac:dyDescent="0.25">
      <c r="A877">
        <v>1036</v>
      </c>
      <c r="B877" s="1">
        <v>45048</v>
      </c>
      <c r="C877" t="s">
        <v>30</v>
      </c>
      <c r="D877" t="s">
        <v>37</v>
      </c>
      <c r="E877" s="2">
        <v>6650.51</v>
      </c>
      <c r="F877">
        <v>42</v>
      </c>
      <c r="G877" t="s">
        <v>39</v>
      </c>
      <c r="H877" s="2">
        <v>4292.63</v>
      </c>
      <c r="I877" s="2">
        <v>4387.99</v>
      </c>
      <c r="J877" t="s">
        <v>27</v>
      </c>
      <c r="K877">
        <v>7.0000000000000007E-2</v>
      </c>
      <c r="L877" t="s">
        <v>28</v>
      </c>
      <c r="M877" t="s">
        <v>32</v>
      </c>
      <c r="N877" t="s">
        <v>51</v>
      </c>
      <c r="O877" s="2">
        <f>_Salesdata[[#This Row],[Unit_Price]] * _Salesdata[[#This Row],[Quantity_Sold]]</f>
        <v>184295.58</v>
      </c>
      <c r="P877" s="2">
        <f>_Salesdata[[#This Row],[Unit_Cost]] * _Salesdata[[#This Row],[Quantity_Sold]]</f>
        <v>180290.46</v>
      </c>
      <c r="Q877" s="2">
        <f>_Salesdata[[#This Row],[Gross_Sales]] - _Salesdata[[#This Row],[Total Cost]]</f>
        <v>4005.1199999999953</v>
      </c>
      <c r="R877" s="2"/>
    </row>
    <row r="878" spans="1:18" x14ac:dyDescent="0.25">
      <c r="A878">
        <v>1008</v>
      </c>
      <c r="B878" s="1">
        <v>45089</v>
      </c>
      <c r="C878" t="s">
        <v>24</v>
      </c>
      <c r="D878" t="s">
        <v>18</v>
      </c>
      <c r="E878" s="2">
        <v>7507.02</v>
      </c>
      <c r="F878">
        <v>32</v>
      </c>
      <c r="G878" t="s">
        <v>31</v>
      </c>
      <c r="H878" s="2">
        <v>4298.12</v>
      </c>
      <c r="I878" s="2">
        <v>4446.8999999999996</v>
      </c>
      <c r="J878" t="s">
        <v>27</v>
      </c>
      <c r="K878">
        <v>0.1</v>
      </c>
      <c r="L878" t="s">
        <v>44</v>
      </c>
      <c r="M878" t="s">
        <v>22</v>
      </c>
      <c r="N878" t="s">
        <v>46</v>
      </c>
      <c r="O878" s="2">
        <f>_Salesdata[[#This Row],[Unit_Price]] * _Salesdata[[#This Row],[Quantity_Sold]]</f>
        <v>142300.79999999999</v>
      </c>
      <c r="P878" s="2">
        <f>_Salesdata[[#This Row],[Unit_Cost]] * _Salesdata[[#This Row],[Quantity_Sold]]</f>
        <v>137539.84</v>
      </c>
      <c r="Q878" s="2">
        <f>_Salesdata[[#This Row],[Gross_Sales]] - _Salesdata[[#This Row],[Total Cost]]</f>
        <v>4760.9599999999919</v>
      </c>
      <c r="R878" s="2"/>
    </row>
    <row r="879" spans="1:18" x14ac:dyDescent="0.25">
      <c r="A879">
        <v>1010</v>
      </c>
      <c r="B879" s="1">
        <v>45211</v>
      </c>
      <c r="C879" t="s">
        <v>35</v>
      </c>
      <c r="D879" t="s">
        <v>37</v>
      </c>
      <c r="E879" s="2">
        <v>9907.7199999999993</v>
      </c>
      <c r="F879">
        <v>20</v>
      </c>
      <c r="G879" t="s">
        <v>39</v>
      </c>
      <c r="H879" s="2">
        <v>4298.74</v>
      </c>
      <c r="I879" s="2">
        <v>4475.1899999999996</v>
      </c>
      <c r="J879" t="s">
        <v>20</v>
      </c>
      <c r="K879">
        <v>0.16</v>
      </c>
      <c r="L879" t="s">
        <v>21</v>
      </c>
      <c r="M879" t="s">
        <v>22</v>
      </c>
      <c r="N879" t="s">
        <v>38</v>
      </c>
      <c r="O879" s="2">
        <f>_Salesdata[[#This Row],[Unit_Price]] * _Salesdata[[#This Row],[Quantity_Sold]]</f>
        <v>89503.799999999988</v>
      </c>
      <c r="P879" s="2">
        <f>_Salesdata[[#This Row],[Unit_Cost]] * _Salesdata[[#This Row],[Quantity_Sold]]</f>
        <v>85974.799999999988</v>
      </c>
      <c r="Q879" s="2">
        <f>_Salesdata[[#This Row],[Gross_Sales]] - _Salesdata[[#This Row],[Total Cost]]</f>
        <v>3529</v>
      </c>
      <c r="R879" s="2"/>
    </row>
    <row r="880" spans="1:18" x14ac:dyDescent="0.25">
      <c r="A880">
        <v>1007</v>
      </c>
      <c r="B880" s="1">
        <v>45155</v>
      </c>
      <c r="C880" t="s">
        <v>48</v>
      </c>
      <c r="D880" t="s">
        <v>18</v>
      </c>
      <c r="E880" s="2">
        <v>2426.2399999999998</v>
      </c>
      <c r="F880">
        <v>16</v>
      </c>
      <c r="G880" t="s">
        <v>39</v>
      </c>
      <c r="H880" s="2">
        <v>4310.3100000000004</v>
      </c>
      <c r="I880" s="2">
        <v>4633.1000000000004</v>
      </c>
      <c r="J880" t="s">
        <v>27</v>
      </c>
      <c r="K880">
        <v>0.28000000000000003</v>
      </c>
      <c r="L880" t="s">
        <v>28</v>
      </c>
      <c r="M880" t="s">
        <v>32</v>
      </c>
      <c r="N880" t="s">
        <v>54</v>
      </c>
      <c r="O880" s="2">
        <f>_Salesdata[[#This Row],[Unit_Price]] * _Salesdata[[#This Row],[Quantity_Sold]]</f>
        <v>74129.600000000006</v>
      </c>
      <c r="P880" s="2">
        <f>_Salesdata[[#This Row],[Unit_Cost]] * _Salesdata[[#This Row],[Quantity_Sold]]</f>
        <v>68964.960000000006</v>
      </c>
      <c r="Q880" s="2">
        <f>_Salesdata[[#This Row],[Gross_Sales]] - _Salesdata[[#This Row],[Total Cost]]</f>
        <v>5164.6399999999994</v>
      </c>
      <c r="R880" s="2"/>
    </row>
    <row r="881" spans="1:18" x14ac:dyDescent="0.25">
      <c r="A881">
        <v>1048</v>
      </c>
      <c r="B881" s="1">
        <v>44945</v>
      </c>
      <c r="C881" t="s">
        <v>17</v>
      </c>
      <c r="D881" t="s">
        <v>25</v>
      </c>
      <c r="E881" s="2">
        <v>5187.16</v>
      </c>
      <c r="F881">
        <v>7</v>
      </c>
      <c r="G881" t="s">
        <v>19</v>
      </c>
      <c r="H881" s="2">
        <v>4310.95</v>
      </c>
      <c r="I881" s="2">
        <v>4723.2</v>
      </c>
      <c r="J881" t="s">
        <v>20</v>
      </c>
      <c r="K881">
        <v>0.05</v>
      </c>
      <c r="L881" t="s">
        <v>28</v>
      </c>
      <c r="M881" t="s">
        <v>32</v>
      </c>
      <c r="N881" t="s">
        <v>34</v>
      </c>
      <c r="O881" s="2">
        <f>_Salesdata[[#This Row],[Unit_Price]] * _Salesdata[[#This Row],[Quantity_Sold]]</f>
        <v>33062.400000000001</v>
      </c>
      <c r="P881" s="2">
        <f>_Salesdata[[#This Row],[Unit_Cost]] * _Salesdata[[#This Row],[Quantity_Sold]]</f>
        <v>30176.649999999998</v>
      </c>
      <c r="Q881" s="2">
        <f>_Salesdata[[#This Row],[Gross_Sales]] - _Salesdata[[#This Row],[Total Cost]]</f>
        <v>2885.7500000000036</v>
      </c>
      <c r="R881" s="2"/>
    </row>
    <row r="882" spans="1:18" x14ac:dyDescent="0.25">
      <c r="A882">
        <v>1071</v>
      </c>
      <c r="B882" s="1">
        <v>45254</v>
      </c>
      <c r="C882" t="s">
        <v>24</v>
      </c>
      <c r="D882" t="s">
        <v>25</v>
      </c>
      <c r="E882" s="2">
        <v>8049.72</v>
      </c>
      <c r="F882">
        <v>12</v>
      </c>
      <c r="G882" t="s">
        <v>31</v>
      </c>
      <c r="H882" s="2">
        <v>4317.95</v>
      </c>
      <c r="I882" s="2">
        <v>4636.59</v>
      </c>
      <c r="J882" t="s">
        <v>27</v>
      </c>
      <c r="K882">
        <v>0.18</v>
      </c>
      <c r="L882" t="s">
        <v>28</v>
      </c>
      <c r="M882" t="s">
        <v>32</v>
      </c>
      <c r="N882" t="s">
        <v>29</v>
      </c>
      <c r="O882" s="2">
        <f>_Salesdata[[#This Row],[Unit_Price]] * _Salesdata[[#This Row],[Quantity_Sold]]</f>
        <v>55639.08</v>
      </c>
      <c r="P882" s="2">
        <f>_Salesdata[[#This Row],[Unit_Cost]] * _Salesdata[[#This Row],[Quantity_Sold]]</f>
        <v>51815.399999999994</v>
      </c>
      <c r="Q882" s="2">
        <f>_Salesdata[[#This Row],[Gross_Sales]] - _Salesdata[[#This Row],[Total Cost]]</f>
        <v>3823.6800000000076</v>
      </c>
      <c r="R882" s="2"/>
    </row>
    <row r="883" spans="1:18" x14ac:dyDescent="0.25">
      <c r="A883">
        <v>1067</v>
      </c>
      <c r="B883" s="1">
        <v>45106</v>
      </c>
      <c r="C883" t="s">
        <v>48</v>
      </c>
      <c r="D883" t="s">
        <v>40</v>
      </c>
      <c r="E883" s="2">
        <v>114.59</v>
      </c>
      <c r="F883">
        <v>48</v>
      </c>
      <c r="G883" t="s">
        <v>31</v>
      </c>
      <c r="H883" s="2">
        <v>4319.32</v>
      </c>
      <c r="I883" s="2">
        <v>4625.5599999999904</v>
      </c>
      <c r="J883" t="s">
        <v>20</v>
      </c>
      <c r="K883">
        <v>0.1</v>
      </c>
      <c r="L883" t="s">
        <v>44</v>
      </c>
      <c r="M883" t="s">
        <v>22</v>
      </c>
      <c r="N883" t="s">
        <v>50</v>
      </c>
      <c r="O883" s="2">
        <f>_Salesdata[[#This Row],[Unit_Price]] * _Salesdata[[#This Row],[Quantity_Sold]]</f>
        <v>222026.87999999954</v>
      </c>
      <c r="P883" s="2">
        <f>_Salesdata[[#This Row],[Unit_Cost]] * _Salesdata[[#This Row],[Quantity_Sold]]</f>
        <v>207327.35999999999</v>
      </c>
      <c r="Q883" s="2">
        <f>_Salesdata[[#This Row],[Gross_Sales]] - _Salesdata[[#This Row],[Total Cost]]</f>
        <v>14699.519999999553</v>
      </c>
      <c r="R883" s="2"/>
    </row>
    <row r="884" spans="1:18" x14ac:dyDescent="0.25">
      <c r="A884">
        <v>1054</v>
      </c>
      <c r="B884" s="1">
        <v>45222</v>
      </c>
      <c r="C884" t="s">
        <v>30</v>
      </c>
      <c r="D884" t="s">
        <v>40</v>
      </c>
      <c r="E884" s="2">
        <v>4392.47</v>
      </c>
      <c r="F884">
        <v>48</v>
      </c>
      <c r="G884" t="s">
        <v>26</v>
      </c>
      <c r="H884" s="2">
        <v>4325.0200000000004</v>
      </c>
      <c r="I884" s="2">
        <v>4391.67</v>
      </c>
      <c r="J884" t="s">
        <v>20</v>
      </c>
      <c r="K884">
        <v>0.16</v>
      </c>
      <c r="L884" t="s">
        <v>28</v>
      </c>
      <c r="M884" t="s">
        <v>32</v>
      </c>
      <c r="N884" t="s">
        <v>41</v>
      </c>
      <c r="O884" s="2">
        <f>_Salesdata[[#This Row],[Unit_Price]] * _Salesdata[[#This Row],[Quantity_Sold]]</f>
        <v>210800.16</v>
      </c>
      <c r="P884" s="2">
        <f>_Salesdata[[#This Row],[Unit_Cost]] * _Salesdata[[#This Row],[Quantity_Sold]]</f>
        <v>207600.96000000002</v>
      </c>
      <c r="Q884" s="2">
        <f>_Salesdata[[#This Row],[Gross_Sales]] - _Salesdata[[#This Row],[Total Cost]]</f>
        <v>3199.1999999999825</v>
      </c>
      <c r="R884" s="2"/>
    </row>
    <row r="885" spans="1:18" x14ac:dyDescent="0.25">
      <c r="A885">
        <v>1072</v>
      </c>
      <c r="B885" s="1">
        <v>45162</v>
      </c>
      <c r="C885" t="s">
        <v>17</v>
      </c>
      <c r="D885" t="s">
        <v>40</v>
      </c>
      <c r="E885" s="2">
        <v>2167.94</v>
      </c>
      <c r="F885">
        <v>39</v>
      </c>
      <c r="G885" t="s">
        <v>19</v>
      </c>
      <c r="H885" s="2">
        <v>4330.03</v>
      </c>
      <c r="I885" s="2">
        <v>4467.75</v>
      </c>
      <c r="J885" t="s">
        <v>27</v>
      </c>
      <c r="K885">
        <v>0.02</v>
      </c>
      <c r="L885" t="s">
        <v>28</v>
      </c>
      <c r="M885" t="s">
        <v>32</v>
      </c>
      <c r="N885" t="s">
        <v>42</v>
      </c>
      <c r="O885" s="2">
        <f>_Salesdata[[#This Row],[Unit_Price]] * _Salesdata[[#This Row],[Quantity_Sold]]</f>
        <v>174242.25</v>
      </c>
      <c r="P885" s="2">
        <f>_Salesdata[[#This Row],[Unit_Cost]] * _Salesdata[[#This Row],[Quantity_Sold]]</f>
        <v>168871.16999999998</v>
      </c>
      <c r="Q885" s="2">
        <f>_Salesdata[[#This Row],[Gross_Sales]] - _Salesdata[[#This Row],[Total Cost]]</f>
        <v>5371.0800000000163</v>
      </c>
      <c r="R885" s="2"/>
    </row>
    <row r="886" spans="1:18" x14ac:dyDescent="0.25">
      <c r="A886">
        <v>1065</v>
      </c>
      <c r="B886" s="1">
        <v>45288</v>
      </c>
      <c r="C886" t="s">
        <v>30</v>
      </c>
      <c r="D886" t="s">
        <v>25</v>
      </c>
      <c r="E886" s="2">
        <v>6139.07</v>
      </c>
      <c r="F886">
        <v>18</v>
      </c>
      <c r="G886" t="s">
        <v>31</v>
      </c>
      <c r="H886" s="2">
        <v>4334.58</v>
      </c>
      <c r="I886" s="2">
        <v>4431.04</v>
      </c>
      <c r="J886" t="s">
        <v>27</v>
      </c>
      <c r="K886">
        <v>0.02</v>
      </c>
      <c r="L886" t="s">
        <v>44</v>
      </c>
      <c r="M886" t="s">
        <v>32</v>
      </c>
      <c r="N886" t="s">
        <v>45</v>
      </c>
      <c r="O886" s="2">
        <f>_Salesdata[[#This Row],[Unit_Price]] * _Salesdata[[#This Row],[Quantity_Sold]]</f>
        <v>79758.720000000001</v>
      </c>
      <c r="P886" s="2">
        <f>_Salesdata[[#This Row],[Unit_Cost]] * _Salesdata[[#This Row],[Quantity_Sold]]</f>
        <v>78022.44</v>
      </c>
      <c r="Q886" s="2">
        <f>_Salesdata[[#This Row],[Gross_Sales]] - _Salesdata[[#This Row],[Total Cost]]</f>
        <v>1736.2799999999988</v>
      </c>
      <c r="R886" s="2"/>
    </row>
    <row r="887" spans="1:18" x14ac:dyDescent="0.25">
      <c r="A887">
        <v>1075</v>
      </c>
      <c r="B887" s="1">
        <v>45059</v>
      </c>
      <c r="C887" t="s">
        <v>17</v>
      </c>
      <c r="D887" t="s">
        <v>18</v>
      </c>
      <c r="E887" s="2">
        <v>6653.49</v>
      </c>
      <c r="F887">
        <v>36</v>
      </c>
      <c r="G887" t="s">
        <v>19</v>
      </c>
      <c r="H887" s="2">
        <v>4337.6099999999997</v>
      </c>
      <c r="I887" s="2">
        <v>4386.82</v>
      </c>
      <c r="J887" t="s">
        <v>20</v>
      </c>
      <c r="K887">
        <v>0.23</v>
      </c>
      <c r="L887" t="s">
        <v>28</v>
      </c>
      <c r="M887" t="s">
        <v>22</v>
      </c>
      <c r="N887" t="s">
        <v>23</v>
      </c>
      <c r="O887" s="2">
        <f>_Salesdata[[#This Row],[Unit_Price]] * _Salesdata[[#This Row],[Quantity_Sold]]</f>
        <v>157925.51999999999</v>
      </c>
      <c r="P887" s="2">
        <f>_Salesdata[[#This Row],[Unit_Cost]] * _Salesdata[[#This Row],[Quantity_Sold]]</f>
        <v>156153.96</v>
      </c>
      <c r="Q887" s="2">
        <f>_Salesdata[[#This Row],[Gross_Sales]] - _Salesdata[[#This Row],[Total Cost]]</f>
        <v>1771.5599999999977</v>
      </c>
      <c r="R887" s="2"/>
    </row>
    <row r="888" spans="1:18" x14ac:dyDescent="0.25">
      <c r="A888">
        <v>1076</v>
      </c>
      <c r="B888" s="1">
        <v>45046</v>
      </c>
      <c r="C888" t="s">
        <v>48</v>
      </c>
      <c r="D888" t="s">
        <v>25</v>
      </c>
      <c r="E888" s="2">
        <v>3279.51</v>
      </c>
      <c r="F888">
        <v>32</v>
      </c>
      <c r="G888" t="s">
        <v>19</v>
      </c>
      <c r="H888" s="2">
        <v>4337.82</v>
      </c>
      <c r="I888" s="2">
        <v>4460.71</v>
      </c>
      <c r="J888" t="s">
        <v>20</v>
      </c>
      <c r="K888">
        <v>0.3</v>
      </c>
      <c r="L888" t="s">
        <v>21</v>
      </c>
      <c r="M888" t="s">
        <v>32</v>
      </c>
      <c r="N888" t="s">
        <v>49</v>
      </c>
      <c r="O888" s="2">
        <f>_Salesdata[[#This Row],[Unit_Price]] * _Salesdata[[#This Row],[Quantity_Sold]]</f>
        <v>142742.72</v>
      </c>
      <c r="P888" s="2">
        <f>_Salesdata[[#This Row],[Unit_Cost]] * _Salesdata[[#This Row],[Quantity_Sold]]</f>
        <v>138810.23999999999</v>
      </c>
      <c r="Q888" s="2">
        <f>_Salesdata[[#This Row],[Gross_Sales]] - _Salesdata[[#This Row],[Total Cost]]</f>
        <v>3932.4800000000105</v>
      </c>
      <c r="R888" s="2"/>
    </row>
    <row r="889" spans="1:18" x14ac:dyDescent="0.25">
      <c r="A889">
        <v>1065</v>
      </c>
      <c r="B889" s="1">
        <v>45152</v>
      </c>
      <c r="C889" t="s">
        <v>17</v>
      </c>
      <c r="D889" t="s">
        <v>25</v>
      </c>
      <c r="E889" s="2">
        <v>5878.76</v>
      </c>
      <c r="F889">
        <v>26</v>
      </c>
      <c r="G889" t="s">
        <v>19</v>
      </c>
      <c r="H889" s="2">
        <v>4337.8500000000004</v>
      </c>
      <c r="I889" s="2">
        <v>4612.49</v>
      </c>
      <c r="J889" t="s">
        <v>20</v>
      </c>
      <c r="K889">
        <v>0.01</v>
      </c>
      <c r="L889" t="s">
        <v>21</v>
      </c>
      <c r="M889" t="s">
        <v>32</v>
      </c>
      <c r="N889" t="s">
        <v>34</v>
      </c>
      <c r="O889" s="2">
        <f>_Salesdata[[#This Row],[Unit_Price]] * _Salesdata[[#This Row],[Quantity_Sold]]</f>
        <v>119924.73999999999</v>
      </c>
      <c r="P889" s="2">
        <f>_Salesdata[[#This Row],[Unit_Cost]] * _Salesdata[[#This Row],[Quantity_Sold]]</f>
        <v>112784.1</v>
      </c>
      <c r="Q889" s="2">
        <f>_Salesdata[[#This Row],[Gross_Sales]] - _Salesdata[[#This Row],[Total Cost]]</f>
        <v>7140.6399999999849</v>
      </c>
      <c r="R889" s="2"/>
    </row>
    <row r="890" spans="1:18" x14ac:dyDescent="0.25">
      <c r="A890">
        <v>1033</v>
      </c>
      <c r="B890" s="1">
        <v>45114</v>
      </c>
      <c r="C890" t="s">
        <v>48</v>
      </c>
      <c r="D890" t="s">
        <v>18</v>
      </c>
      <c r="E890" s="2">
        <v>8775.56</v>
      </c>
      <c r="F890">
        <v>13</v>
      </c>
      <c r="G890" t="s">
        <v>31</v>
      </c>
      <c r="H890" s="2">
        <v>4342.53</v>
      </c>
      <c r="I890" s="2">
        <v>4357.49</v>
      </c>
      <c r="J890" t="s">
        <v>27</v>
      </c>
      <c r="K890">
        <v>0.08</v>
      </c>
      <c r="L890" t="s">
        <v>44</v>
      </c>
      <c r="M890" t="s">
        <v>22</v>
      </c>
      <c r="N890" t="s">
        <v>54</v>
      </c>
      <c r="O890" s="2">
        <f>_Salesdata[[#This Row],[Unit_Price]] * _Salesdata[[#This Row],[Quantity_Sold]]</f>
        <v>56647.369999999995</v>
      </c>
      <c r="P890" s="2">
        <f>_Salesdata[[#This Row],[Unit_Cost]] * _Salesdata[[#This Row],[Quantity_Sold]]</f>
        <v>56452.89</v>
      </c>
      <c r="Q890" s="2">
        <f>_Salesdata[[#This Row],[Gross_Sales]] - _Salesdata[[#This Row],[Total Cost]]</f>
        <v>194.47999999999593</v>
      </c>
      <c r="R890" s="2"/>
    </row>
    <row r="891" spans="1:18" x14ac:dyDescent="0.25">
      <c r="A891">
        <v>1089</v>
      </c>
      <c r="B891" s="1">
        <v>45258</v>
      </c>
      <c r="C891" t="s">
        <v>30</v>
      </c>
      <c r="D891" t="s">
        <v>25</v>
      </c>
      <c r="E891" s="2">
        <v>8719.6200000000008</v>
      </c>
      <c r="F891">
        <v>8</v>
      </c>
      <c r="G891" t="s">
        <v>39</v>
      </c>
      <c r="H891" s="2">
        <v>4349.34</v>
      </c>
      <c r="I891" s="2">
        <v>4629.9799999999996</v>
      </c>
      <c r="J891" t="s">
        <v>20</v>
      </c>
      <c r="K891">
        <v>0.01</v>
      </c>
      <c r="L891" t="s">
        <v>28</v>
      </c>
      <c r="M891" t="s">
        <v>22</v>
      </c>
      <c r="N891" t="s">
        <v>45</v>
      </c>
      <c r="O891" s="2">
        <f>_Salesdata[[#This Row],[Unit_Price]] * _Salesdata[[#This Row],[Quantity_Sold]]</f>
        <v>37039.839999999997</v>
      </c>
      <c r="P891" s="2">
        <f>_Salesdata[[#This Row],[Unit_Cost]] * _Salesdata[[#This Row],[Quantity_Sold]]</f>
        <v>34794.720000000001</v>
      </c>
      <c r="Q891" s="2">
        <f>_Salesdata[[#This Row],[Gross_Sales]] - _Salesdata[[#This Row],[Total Cost]]</f>
        <v>2245.1199999999953</v>
      </c>
      <c r="R891" s="2"/>
    </row>
    <row r="892" spans="1:18" x14ac:dyDescent="0.25">
      <c r="A892">
        <v>1072</v>
      </c>
      <c r="B892" s="1">
        <v>45092</v>
      </c>
      <c r="C892" t="s">
        <v>30</v>
      </c>
      <c r="D892" t="s">
        <v>37</v>
      </c>
      <c r="E892" s="2">
        <v>6976.49</v>
      </c>
      <c r="F892">
        <v>35</v>
      </c>
      <c r="G892" t="s">
        <v>26</v>
      </c>
      <c r="H892" s="2">
        <v>4349.3599999999997</v>
      </c>
      <c r="I892" s="2">
        <v>4645.17</v>
      </c>
      <c r="J892" t="s">
        <v>20</v>
      </c>
      <c r="K892">
        <v>0.18</v>
      </c>
      <c r="L892" t="s">
        <v>28</v>
      </c>
      <c r="M892" t="s">
        <v>32</v>
      </c>
      <c r="N892" t="s">
        <v>51</v>
      </c>
      <c r="O892" s="2">
        <f>_Salesdata[[#This Row],[Unit_Price]] * _Salesdata[[#This Row],[Quantity_Sold]]</f>
        <v>162580.95000000001</v>
      </c>
      <c r="P892" s="2">
        <f>_Salesdata[[#This Row],[Unit_Cost]] * _Salesdata[[#This Row],[Quantity_Sold]]</f>
        <v>152227.59999999998</v>
      </c>
      <c r="Q892" s="2">
        <f>_Salesdata[[#This Row],[Gross_Sales]] - _Salesdata[[#This Row],[Total Cost]]</f>
        <v>10353.350000000035</v>
      </c>
      <c r="R892" s="2"/>
    </row>
    <row r="893" spans="1:18" x14ac:dyDescent="0.25">
      <c r="A893">
        <v>1006</v>
      </c>
      <c r="B893" s="1">
        <v>44948</v>
      </c>
      <c r="C893" t="s">
        <v>24</v>
      </c>
      <c r="D893" t="s">
        <v>40</v>
      </c>
      <c r="E893" s="2">
        <v>5053.5600000000004</v>
      </c>
      <c r="F893">
        <v>29</v>
      </c>
      <c r="G893" t="s">
        <v>26</v>
      </c>
      <c r="H893" s="2">
        <v>4353.29</v>
      </c>
      <c r="I893" s="2">
        <v>4405.8</v>
      </c>
      <c r="J893" t="s">
        <v>27</v>
      </c>
      <c r="K893">
        <v>0.04</v>
      </c>
      <c r="L893" t="s">
        <v>44</v>
      </c>
      <c r="M893" t="s">
        <v>22</v>
      </c>
      <c r="N893" t="s">
        <v>55</v>
      </c>
      <c r="O893" s="2">
        <f>_Salesdata[[#This Row],[Unit_Price]] * _Salesdata[[#This Row],[Quantity_Sold]]</f>
        <v>127768.20000000001</v>
      </c>
      <c r="P893" s="2">
        <f>_Salesdata[[#This Row],[Unit_Cost]] * _Salesdata[[#This Row],[Quantity_Sold]]</f>
        <v>126245.41</v>
      </c>
      <c r="Q893" s="2">
        <f>_Salesdata[[#This Row],[Gross_Sales]] - _Salesdata[[#This Row],[Total Cost]]</f>
        <v>1522.7900000000081</v>
      </c>
      <c r="R893" s="2"/>
    </row>
    <row r="894" spans="1:18" x14ac:dyDescent="0.25">
      <c r="A894">
        <v>1004</v>
      </c>
      <c r="B894" s="1">
        <v>45197</v>
      </c>
      <c r="C894" t="s">
        <v>48</v>
      </c>
      <c r="D894" t="s">
        <v>40</v>
      </c>
      <c r="E894" s="2">
        <v>4936.1099999999997</v>
      </c>
      <c r="F894">
        <v>27</v>
      </c>
      <c r="G894" t="s">
        <v>19</v>
      </c>
      <c r="H894" s="2">
        <v>4354.6000000000004</v>
      </c>
      <c r="I894" s="2">
        <v>4820.2</v>
      </c>
      <c r="J894" t="s">
        <v>27</v>
      </c>
      <c r="K894">
        <v>0.14000000000000001</v>
      </c>
      <c r="L894" t="s">
        <v>28</v>
      </c>
      <c r="M894" t="s">
        <v>32</v>
      </c>
      <c r="N894" t="s">
        <v>50</v>
      </c>
      <c r="O894" s="2">
        <f>_Salesdata[[#This Row],[Unit_Price]] * _Salesdata[[#This Row],[Quantity_Sold]]</f>
        <v>130145.4</v>
      </c>
      <c r="P894" s="2">
        <f>_Salesdata[[#This Row],[Unit_Cost]] * _Salesdata[[#This Row],[Quantity_Sold]]</f>
        <v>117574.20000000001</v>
      </c>
      <c r="Q894" s="2">
        <f>_Salesdata[[#This Row],[Gross_Sales]] - _Salesdata[[#This Row],[Total Cost]]</f>
        <v>12571.199999999983</v>
      </c>
      <c r="R894" s="2"/>
    </row>
    <row r="895" spans="1:18" x14ac:dyDescent="0.25">
      <c r="A895">
        <v>1010</v>
      </c>
      <c r="B895" s="1">
        <v>45012</v>
      </c>
      <c r="C895" t="s">
        <v>48</v>
      </c>
      <c r="D895" t="s">
        <v>40</v>
      </c>
      <c r="E895" s="2">
        <v>8159.84</v>
      </c>
      <c r="F895">
        <v>37</v>
      </c>
      <c r="G895" t="s">
        <v>19</v>
      </c>
      <c r="H895" s="2">
        <v>4354.92</v>
      </c>
      <c r="I895" s="2">
        <v>4495.88</v>
      </c>
      <c r="J895" t="s">
        <v>20</v>
      </c>
      <c r="K895">
        <v>0.01</v>
      </c>
      <c r="L895" t="s">
        <v>44</v>
      </c>
      <c r="M895" t="s">
        <v>22</v>
      </c>
      <c r="N895" t="s">
        <v>50</v>
      </c>
      <c r="O895" s="2">
        <f>_Salesdata[[#This Row],[Unit_Price]] * _Salesdata[[#This Row],[Quantity_Sold]]</f>
        <v>166347.56</v>
      </c>
      <c r="P895" s="2">
        <f>_Salesdata[[#This Row],[Unit_Cost]] * _Salesdata[[#This Row],[Quantity_Sold]]</f>
        <v>161132.04</v>
      </c>
      <c r="Q895" s="2">
        <f>_Salesdata[[#This Row],[Gross_Sales]] - _Salesdata[[#This Row],[Total Cost]]</f>
        <v>5215.5199999999895</v>
      </c>
      <c r="R895" s="2"/>
    </row>
    <row r="896" spans="1:18" x14ac:dyDescent="0.25">
      <c r="A896">
        <v>1009</v>
      </c>
      <c r="B896" s="1">
        <v>45015</v>
      </c>
      <c r="C896" t="s">
        <v>35</v>
      </c>
      <c r="D896" t="s">
        <v>40</v>
      </c>
      <c r="E896" s="2">
        <v>2279.1</v>
      </c>
      <c r="F896">
        <v>10</v>
      </c>
      <c r="G896" t="s">
        <v>19</v>
      </c>
      <c r="H896" s="2">
        <v>4364.3500000000004</v>
      </c>
      <c r="I896" s="2">
        <v>4710.1000000000004</v>
      </c>
      <c r="J896" t="s">
        <v>27</v>
      </c>
      <c r="K896">
        <v>7.0000000000000007E-2</v>
      </c>
      <c r="L896" t="s">
        <v>28</v>
      </c>
      <c r="M896" t="s">
        <v>22</v>
      </c>
      <c r="N896" t="s">
        <v>43</v>
      </c>
      <c r="O896" s="2">
        <f>_Salesdata[[#This Row],[Unit_Price]] * _Salesdata[[#This Row],[Quantity_Sold]]</f>
        <v>47101</v>
      </c>
      <c r="P896" s="2">
        <f>_Salesdata[[#This Row],[Unit_Cost]] * _Salesdata[[#This Row],[Quantity_Sold]]</f>
        <v>43643.5</v>
      </c>
      <c r="Q896" s="2">
        <f>_Salesdata[[#This Row],[Gross_Sales]] - _Salesdata[[#This Row],[Total Cost]]</f>
        <v>3457.5</v>
      </c>
      <c r="R896" s="2"/>
    </row>
    <row r="897" spans="1:18" x14ac:dyDescent="0.25">
      <c r="A897">
        <v>1073</v>
      </c>
      <c r="B897" s="1">
        <v>45266</v>
      </c>
      <c r="C897" t="s">
        <v>24</v>
      </c>
      <c r="D897" t="s">
        <v>37</v>
      </c>
      <c r="E897" s="2">
        <v>2273.58</v>
      </c>
      <c r="F897">
        <v>31</v>
      </c>
      <c r="G897" t="s">
        <v>31</v>
      </c>
      <c r="H897" s="2">
        <v>4368.97</v>
      </c>
      <c r="I897" s="2">
        <v>4696.8500000000004</v>
      </c>
      <c r="J897" t="s">
        <v>20</v>
      </c>
      <c r="K897">
        <v>0.25</v>
      </c>
      <c r="L897" t="s">
        <v>44</v>
      </c>
      <c r="M897" t="s">
        <v>32</v>
      </c>
      <c r="N897" t="s">
        <v>53</v>
      </c>
      <c r="O897" s="2">
        <f>_Salesdata[[#This Row],[Unit_Price]] * _Salesdata[[#This Row],[Quantity_Sold]]</f>
        <v>145602.35</v>
      </c>
      <c r="P897" s="2">
        <f>_Salesdata[[#This Row],[Unit_Cost]] * _Salesdata[[#This Row],[Quantity_Sold]]</f>
        <v>135438.07</v>
      </c>
      <c r="Q897" s="2">
        <f>_Salesdata[[#This Row],[Gross_Sales]] - _Salesdata[[#This Row],[Total Cost]]</f>
        <v>10164.279999999999</v>
      </c>
      <c r="R897" s="2"/>
    </row>
    <row r="898" spans="1:18" x14ac:dyDescent="0.25">
      <c r="A898">
        <v>1073</v>
      </c>
      <c r="B898" s="1">
        <v>45222</v>
      </c>
      <c r="C898" t="s">
        <v>35</v>
      </c>
      <c r="D898" t="s">
        <v>40</v>
      </c>
      <c r="E898" s="2">
        <v>4650.68</v>
      </c>
      <c r="F898">
        <v>45</v>
      </c>
      <c r="G898" t="s">
        <v>19</v>
      </c>
      <c r="H898" s="2">
        <v>4369.5</v>
      </c>
      <c r="I898" s="2">
        <v>4381.8900000000003</v>
      </c>
      <c r="J898" t="s">
        <v>20</v>
      </c>
      <c r="K898">
        <v>0.02</v>
      </c>
      <c r="L898" t="s">
        <v>28</v>
      </c>
      <c r="M898" t="s">
        <v>32</v>
      </c>
      <c r="N898" t="s">
        <v>43</v>
      </c>
      <c r="O898" s="2">
        <f>_Salesdata[[#This Row],[Unit_Price]] * _Salesdata[[#This Row],[Quantity_Sold]]</f>
        <v>197185.05000000002</v>
      </c>
      <c r="P898" s="2">
        <f>_Salesdata[[#This Row],[Unit_Cost]] * _Salesdata[[#This Row],[Quantity_Sold]]</f>
        <v>196627.5</v>
      </c>
      <c r="Q898" s="2">
        <f>_Salesdata[[#This Row],[Gross_Sales]] - _Salesdata[[#This Row],[Total Cost]]</f>
        <v>557.55000000001746</v>
      </c>
      <c r="R898" s="2"/>
    </row>
    <row r="899" spans="1:18" x14ac:dyDescent="0.25">
      <c r="A899">
        <v>1005</v>
      </c>
      <c r="B899" s="1">
        <v>45158</v>
      </c>
      <c r="C899" t="s">
        <v>17</v>
      </c>
      <c r="D899" t="s">
        <v>37</v>
      </c>
      <c r="E899" s="2">
        <v>4400.59</v>
      </c>
      <c r="F899">
        <v>21</v>
      </c>
      <c r="G899" t="s">
        <v>31</v>
      </c>
      <c r="H899" s="2">
        <v>4376.37</v>
      </c>
      <c r="I899" s="2">
        <v>4818.95</v>
      </c>
      <c r="J899" t="s">
        <v>27</v>
      </c>
      <c r="K899">
        <v>0</v>
      </c>
      <c r="L899" t="s">
        <v>28</v>
      </c>
      <c r="M899" t="s">
        <v>32</v>
      </c>
      <c r="N899" t="s">
        <v>47</v>
      </c>
      <c r="O899" s="2">
        <f>_Salesdata[[#This Row],[Unit_Price]] * _Salesdata[[#This Row],[Quantity_Sold]]</f>
        <v>101197.95</v>
      </c>
      <c r="P899" s="2">
        <f>_Salesdata[[#This Row],[Unit_Cost]] * _Salesdata[[#This Row],[Quantity_Sold]]</f>
        <v>91903.77</v>
      </c>
      <c r="Q899" s="2">
        <f>_Salesdata[[#This Row],[Gross_Sales]] - _Salesdata[[#This Row],[Total Cost]]</f>
        <v>9294.179999999993</v>
      </c>
      <c r="R899" s="2"/>
    </row>
    <row r="900" spans="1:18" x14ac:dyDescent="0.25">
      <c r="A900">
        <v>1088</v>
      </c>
      <c r="B900" s="1">
        <v>45137</v>
      </c>
      <c r="C900" t="s">
        <v>48</v>
      </c>
      <c r="D900" t="s">
        <v>18</v>
      </c>
      <c r="E900" s="2">
        <v>7997.55</v>
      </c>
      <c r="F900">
        <v>1</v>
      </c>
      <c r="G900" t="s">
        <v>39</v>
      </c>
      <c r="H900" s="2">
        <v>4384.6400000000003</v>
      </c>
      <c r="I900" s="2">
        <v>4693.8999999999996</v>
      </c>
      <c r="J900" t="s">
        <v>27</v>
      </c>
      <c r="K900">
        <v>0.14000000000000001</v>
      </c>
      <c r="L900" t="s">
        <v>21</v>
      </c>
      <c r="M900" t="s">
        <v>32</v>
      </c>
      <c r="N900" t="s">
        <v>54</v>
      </c>
      <c r="O900" s="2">
        <f>_Salesdata[[#This Row],[Unit_Price]] * _Salesdata[[#This Row],[Quantity_Sold]]</f>
        <v>4693.8999999999996</v>
      </c>
      <c r="P900" s="2">
        <f>_Salesdata[[#This Row],[Unit_Cost]] * _Salesdata[[#This Row],[Quantity_Sold]]</f>
        <v>4384.6400000000003</v>
      </c>
      <c r="Q900" s="2">
        <f>_Salesdata[[#This Row],[Gross_Sales]] - _Salesdata[[#This Row],[Total Cost]]</f>
        <v>309.25999999999931</v>
      </c>
      <c r="R900" s="2"/>
    </row>
    <row r="901" spans="1:18" x14ac:dyDescent="0.25">
      <c r="A901">
        <v>1088</v>
      </c>
      <c r="B901" s="1">
        <v>45196</v>
      </c>
      <c r="C901" t="s">
        <v>48</v>
      </c>
      <c r="D901" t="s">
        <v>37</v>
      </c>
      <c r="E901" s="2">
        <v>7106.44</v>
      </c>
      <c r="F901">
        <v>12</v>
      </c>
      <c r="G901" t="s">
        <v>19</v>
      </c>
      <c r="H901" s="2">
        <v>4389.24</v>
      </c>
      <c r="I901" s="2">
        <v>4856.2199999999903</v>
      </c>
      <c r="J901" t="s">
        <v>20</v>
      </c>
      <c r="K901">
        <v>0.15</v>
      </c>
      <c r="L901" t="s">
        <v>21</v>
      </c>
      <c r="M901" t="s">
        <v>32</v>
      </c>
      <c r="N901" t="s">
        <v>52</v>
      </c>
      <c r="O901" s="2">
        <f>_Salesdata[[#This Row],[Unit_Price]] * _Salesdata[[#This Row],[Quantity_Sold]]</f>
        <v>58274.639999999883</v>
      </c>
      <c r="P901" s="2">
        <f>_Salesdata[[#This Row],[Unit_Cost]] * _Salesdata[[#This Row],[Quantity_Sold]]</f>
        <v>52670.879999999997</v>
      </c>
      <c r="Q901" s="2">
        <f>_Salesdata[[#This Row],[Gross_Sales]] - _Salesdata[[#This Row],[Total Cost]]</f>
        <v>5603.7599999998856</v>
      </c>
      <c r="R901" s="2"/>
    </row>
    <row r="902" spans="1:18" x14ac:dyDescent="0.25">
      <c r="A902">
        <v>1039</v>
      </c>
      <c r="B902" s="1">
        <v>45104</v>
      </c>
      <c r="C902" t="s">
        <v>17</v>
      </c>
      <c r="D902" t="s">
        <v>18</v>
      </c>
      <c r="E902" s="2">
        <v>9683.85</v>
      </c>
      <c r="F902">
        <v>2</v>
      </c>
      <c r="G902" t="s">
        <v>26</v>
      </c>
      <c r="H902" s="2">
        <v>4394.58</v>
      </c>
      <c r="I902" s="2">
        <v>4545.78</v>
      </c>
      <c r="J902" t="s">
        <v>20</v>
      </c>
      <c r="K902">
        <v>0.2</v>
      </c>
      <c r="L902" t="s">
        <v>28</v>
      </c>
      <c r="M902" t="s">
        <v>32</v>
      </c>
      <c r="N902" t="s">
        <v>23</v>
      </c>
      <c r="O902" s="2">
        <f>_Salesdata[[#This Row],[Unit_Price]] * _Salesdata[[#This Row],[Quantity_Sold]]</f>
        <v>9091.56</v>
      </c>
      <c r="P902" s="2">
        <f>_Salesdata[[#This Row],[Unit_Cost]] * _Salesdata[[#This Row],[Quantity_Sold]]</f>
        <v>8789.16</v>
      </c>
      <c r="Q902" s="2">
        <f>_Salesdata[[#This Row],[Gross_Sales]] - _Salesdata[[#This Row],[Total Cost]]</f>
        <v>302.39999999999964</v>
      </c>
      <c r="R902" s="2"/>
    </row>
    <row r="903" spans="1:18" x14ac:dyDescent="0.25">
      <c r="A903">
        <v>1002</v>
      </c>
      <c r="B903" s="1">
        <v>45038</v>
      </c>
      <c r="C903" t="s">
        <v>48</v>
      </c>
      <c r="D903" t="s">
        <v>37</v>
      </c>
      <c r="E903" s="2">
        <v>6551.23</v>
      </c>
      <c r="F903">
        <v>9</v>
      </c>
      <c r="G903" t="s">
        <v>26</v>
      </c>
      <c r="H903" s="2">
        <v>4398.16</v>
      </c>
      <c r="I903" s="2">
        <v>4439.12</v>
      </c>
      <c r="J903" t="s">
        <v>27</v>
      </c>
      <c r="K903">
        <v>0.18</v>
      </c>
      <c r="L903" t="s">
        <v>44</v>
      </c>
      <c r="M903" t="s">
        <v>22</v>
      </c>
      <c r="N903" t="s">
        <v>52</v>
      </c>
      <c r="O903" s="2">
        <f>_Salesdata[[#This Row],[Unit_Price]] * _Salesdata[[#This Row],[Quantity_Sold]]</f>
        <v>39952.080000000002</v>
      </c>
      <c r="P903" s="2">
        <f>_Salesdata[[#This Row],[Unit_Cost]] * _Salesdata[[#This Row],[Quantity_Sold]]</f>
        <v>39583.440000000002</v>
      </c>
      <c r="Q903" s="2">
        <f>_Salesdata[[#This Row],[Gross_Sales]] - _Salesdata[[#This Row],[Total Cost]]</f>
        <v>368.63999999999942</v>
      </c>
      <c r="R903" s="2"/>
    </row>
    <row r="904" spans="1:18" x14ac:dyDescent="0.25">
      <c r="A904">
        <v>1075</v>
      </c>
      <c r="B904" s="1">
        <v>45042</v>
      </c>
      <c r="C904" t="s">
        <v>30</v>
      </c>
      <c r="D904" t="s">
        <v>40</v>
      </c>
      <c r="E904" s="2">
        <v>1457.77</v>
      </c>
      <c r="F904">
        <v>37</v>
      </c>
      <c r="G904" t="s">
        <v>26</v>
      </c>
      <c r="H904" s="2">
        <v>4399.8</v>
      </c>
      <c r="I904" s="2">
        <v>4801.0600000000004</v>
      </c>
      <c r="J904" t="s">
        <v>27</v>
      </c>
      <c r="K904">
        <v>0.13</v>
      </c>
      <c r="L904" t="s">
        <v>44</v>
      </c>
      <c r="M904" t="s">
        <v>32</v>
      </c>
      <c r="N904" t="s">
        <v>41</v>
      </c>
      <c r="O904" s="2">
        <f>_Salesdata[[#This Row],[Unit_Price]] * _Salesdata[[#This Row],[Quantity_Sold]]</f>
        <v>177639.22</v>
      </c>
      <c r="P904" s="2">
        <f>_Salesdata[[#This Row],[Unit_Cost]] * _Salesdata[[#This Row],[Quantity_Sold]]</f>
        <v>162792.6</v>
      </c>
      <c r="Q904" s="2">
        <f>_Salesdata[[#This Row],[Gross_Sales]] - _Salesdata[[#This Row],[Total Cost]]</f>
        <v>14846.619999999995</v>
      </c>
      <c r="R904" s="2"/>
    </row>
    <row r="905" spans="1:18" x14ac:dyDescent="0.25">
      <c r="A905">
        <v>1077</v>
      </c>
      <c r="B905" s="1">
        <v>45145</v>
      </c>
      <c r="C905" t="s">
        <v>35</v>
      </c>
      <c r="D905" t="s">
        <v>18</v>
      </c>
      <c r="E905" s="2">
        <v>242.38</v>
      </c>
      <c r="F905">
        <v>43</v>
      </c>
      <c r="G905" t="s">
        <v>31</v>
      </c>
      <c r="H905" s="2">
        <v>4402.66</v>
      </c>
      <c r="I905" s="2">
        <v>4724.7</v>
      </c>
      <c r="J905" t="s">
        <v>27</v>
      </c>
      <c r="K905">
        <v>0.1</v>
      </c>
      <c r="L905" t="s">
        <v>44</v>
      </c>
      <c r="M905" t="s">
        <v>32</v>
      </c>
      <c r="N905" t="s">
        <v>36</v>
      </c>
      <c r="O905" s="2">
        <f>_Salesdata[[#This Row],[Unit_Price]] * _Salesdata[[#This Row],[Quantity_Sold]]</f>
        <v>203162.1</v>
      </c>
      <c r="P905" s="2">
        <f>_Salesdata[[#This Row],[Unit_Cost]] * _Salesdata[[#This Row],[Quantity_Sold]]</f>
        <v>189314.38</v>
      </c>
      <c r="Q905" s="2">
        <f>_Salesdata[[#This Row],[Gross_Sales]] - _Salesdata[[#This Row],[Total Cost]]</f>
        <v>13847.720000000001</v>
      </c>
      <c r="R905" s="2"/>
    </row>
    <row r="906" spans="1:18" x14ac:dyDescent="0.25">
      <c r="A906">
        <v>1051</v>
      </c>
      <c r="B906" s="1">
        <v>45057</v>
      </c>
      <c r="C906" t="s">
        <v>17</v>
      </c>
      <c r="D906" t="s">
        <v>37</v>
      </c>
      <c r="E906" s="2">
        <v>5578.37</v>
      </c>
      <c r="F906">
        <v>36</v>
      </c>
      <c r="G906" t="s">
        <v>31</v>
      </c>
      <c r="H906" s="2">
        <v>4418.95</v>
      </c>
      <c r="I906" s="2">
        <v>4647.87</v>
      </c>
      <c r="J906" t="s">
        <v>27</v>
      </c>
      <c r="K906">
        <v>0.04</v>
      </c>
      <c r="L906" t="s">
        <v>44</v>
      </c>
      <c r="M906" t="s">
        <v>22</v>
      </c>
      <c r="N906" t="s">
        <v>47</v>
      </c>
      <c r="O906" s="2">
        <f>_Salesdata[[#This Row],[Unit_Price]] * _Salesdata[[#This Row],[Quantity_Sold]]</f>
        <v>167323.32</v>
      </c>
      <c r="P906" s="2">
        <f>_Salesdata[[#This Row],[Unit_Cost]] * _Salesdata[[#This Row],[Quantity_Sold]]</f>
        <v>159082.19999999998</v>
      </c>
      <c r="Q906" s="2">
        <f>_Salesdata[[#This Row],[Gross_Sales]] - _Salesdata[[#This Row],[Total Cost]]</f>
        <v>8241.1200000000244</v>
      </c>
      <c r="R906" s="2"/>
    </row>
    <row r="907" spans="1:18" x14ac:dyDescent="0.25">
      <c r="A907">
        <v>1054</v>
      </c>
      <c r="B907" s="1">
        <v>45120</v>
      </c>
      <c r="C907" t="s">
        <v>24</v>
      </c>
      <c r="D907" t="s">
        <v>40</v>
      </c>
      <c r="E907" s="2">
        <v>7002.37</v>
      </c>
      <c r="F907">
        <v>47</v>
      </c>
      <c r="G907" t="s">
        <v>31</v>
      </c>
      <c r="H907" s="2">
        <v>4429.8</v>
      </c>
      <c r="I907" s="2">
        <v>4694.21</v>
      </c>
      <c r="J907" t="s">
        <v>27</v>
      </c>
      <c r="K907">
        <v>0.25</v>
      </c>
      <c r="L907" t="s">
        <v>44</v>
      </c>
      <c r="M907" t="s">
        <v>22</v>
      </c>
      <c r="N907" t="s">
        <v>55</v>
      </c>
      <c r="O907" s="2">
        <f>_Salesdata[[#This Row],[Unit_Price]] * _Salesdata[[#This Row],[Quantity_Sold]]</f>
        <v>220627.87</v>
      </c>
      <c r="P907" s="2">
        <f>_Salesdata[[#This Row],[Unit_Cost]] * _Salesdata[[#This Row],[Quantity_Sold]]</f>
        <v>208200.6</v>
      </c>
      <c r="Q907" s="2">
        <f>_Salesdata[[#This Row],[Gross_Sales]] - _Salesdata[[#This Row],[Total Cost]]</f>
        <v>12427.26999999999</v>
      </c>
      <c r="R907" s="2"/>
    </row>
    <row r="908" spans="1:18" x14ac:dyDescent="0.25">
      <c r="A908">
        <v>1061</v>
      </c>
      <c r="B908" s="1">
        <v>44951</v>
      </c>
      <c r="C908" t="s">
        <v>17</v>
      </c>
      <c r="D908" t="s">
        <v>18</v>
      </c>
      <c r="E908" s="2">
        <v>2375.2800000000002</v>
      </c>
      <c r="F908">
        <v>38</v>
      </c>
      <c r="G908" t="s">
        <v>39</v>
      </c>
      <c r="H908" s="2">
        <v>4440.8599999999997</v>
      </c>
      <c r="I908" s="2">
        <v>4506.8099999999904</v>
      </c>
      <c r="J908" t="s">
        <v>20</v>
      </c>
      <c r="K908">
        <v>0.24</v>
      </c>
      <c r="L908" t="s">
        <v>44</v>
      </c>
      <c r="M908" t="s">
        <v>22</v>
      </c>
      <c r="N908" t="s">
        <v>23</v>
      </c>
      <c r="O908" s="2">
        <f>_Salesdata[[#This Row],[Unit_Price]] * _Salesdata[[#This Row],[Quantity_Sold]]</f>
        <v>171258.77999999962</v>
      </c>
      <c r="P908" s="2">
        <f>_Salesdata[[#This Row],[Unit_Cost]] * _Salesdata[[#This Row],[Quantity_Sold]]</f>
        <v>168752.68</v>
      </c>
      <c r="Q908" s="2">
        <f>_Salesdata[[#This Row],[Gross_Sales]] - _Salesdata[[#This Row],[Total Cost]]</f>
        <v>2506.0999999996275</v>
      </c>
      <c r="R908" s="2"/>
    </row>
    <row r="909" spans="1:18" x14ac:dyDescent="0.25">
      <c r="A909">
        <v>1023</v>
      </c>
      <c r="B909" s="1">
        <v>44987</v>
      </c>
      <c r="C909" t="s">
        <v>30</v>
      </c>
      <c r="D909" t="s">
        <v>25</v>
      </c>
      <c r="E909" s="2">
        <v>1260.32</v>
      </c>
      <c r="F909">
        <v>39</v>
      </c>
      <c r="G909" t="s">
        <v>31</v>
      </c>
      <c r="H909" s="2">
        <v>4450.6099999999997</v>
      </c>
      <c r="I909" s="2">
        <v>4663.3399999999901</v>
      </c>
      <c r="J909" t="s">
        <v>27</v>
      </c>
      <c r="K909">
        <v>0.24</v>
      </c>
      <c r="L909" t="s">
        <v>21</v>
      </c>
      <c r="M909" t="s">
        <v>32</v>
      </c>
      <c r="N909" t="s">
        <v>45</v>
      </c>
      <c r="O909" s="2">
        <f>_Salesdata[[#This Row],[Unit_Price]] * _Salesdata[[#This Row],[Quantity_Sold]]</f>
        <v>181870.2599999996</v>
      </c>
      <c r="P909" s="2">
        <f>_Salesdata[[#This Row],[Unit_Cost]] * _Salesdata[[#This Row],[Quantity_Sold]]</f>
        <v>173573.78999999998</v>
      </c>
      <c r="Q909" s="2">
        <f>_Salesdata[[#This Row],[Gross_Sales]] - _Salesdata[[#This Row],[Total Cost]]</f>
        <v>8296.4699999996228</v>
      </c>
      <c r="R909" s="2"/>
    </row>
    <row r="910" spans="1:18" x14ac:dyDescent="0.25">
      <c r="A910">
        <v>1011</v>
      </c>
      <c r="B910" s="1">
        <v>45091</v>
      </c>
      <c r="C910" t="s">
        <v>24</v>
      </c>
      <c r="D910" t="s">
        <v>40</v>
      </c>
      <c r="E910" s="2">
        <v>4531.97</v>
      </c>
      <c r="F910">
        <v>38</v>
      </c>
      <c r="G910" t="s">
        <v>39</v>
      </c>
      <c r="H910" s="2">
        <v>4456.67</v>
      </c>
      <c r="I910" s="2">
        <v>4642.46</v>
      </c>
      <c r="J910" t="s">
        <v>27</v>
      </c>
      <c r="K910">
        <v>0.06</v>
      </c>
      <c r="L910" t="s">
        <v>44</v>
      </c>
      <c r="M910" t="s">
        <v>22</v>
      </c>
      <c r="N910" t="s">
        <v>55</v>
      </c>
      <c r="O910" s="2">
        <f>_Salesdata[[#This Row],[Unit_Price]] * _Salesdata[[#This Row],[Quantity_Sold]]</f>
        <v>176413.48</v>
      </c>
      <c r="P910" s="2">
        <f>_Salesdata[[#This Row],[Unit_Cost]] * _Salesdata[[#This Row],[Quantity_Sold]]</f>
        <v>169353.46</v>
      </c>
      <c r="Q910" s="2">
        <f>_Salesdata[[#This Row],[Gross_Sales]] - _Salesdata[[#This Row],[Total Cost]]</f>
        <v>7060.0200000000186</v>
      </c>
      <c r="R910" s="2"/>
    </row>
    <row r="911" spans="1:18" x14ac:dyDescent="0.25">
      <c r="A911">
        <v>1016</v>
      </c>
      <c r="B911" s="1">
        <v>45141</v>
      </c>
      <c r="C911" t="s">
        <v>24</v>
      </c>
      <c r="D911" t="s">
        <v>25</v>
      </c>
      <c r="E911" s="2">
        <v>3080.36</v>
      </c>
      <c r="F911">
        <v>16</v>
      </c>
      <c r="G911" t="s">
        <v>39</v>
      </c>
      <c r="H911" s="2">
        <v>4457.68</v>
      </c>
      <c r="I911" s="2">
        <v>4743.03</v>
      </c>
      <c r="J911" t="s">
        <v>20</v>
      </c>
      <c r="K911">
        <v>0.19</v>
      </c>
      <c r="L911" t="s">
        <v>21</v>
      </c>
      <c r="M911" t="s">
        <v>22</v>
      </c>
      <c r="N911" t="s">
        <v>29</v>
      </c>
      <c r="O911" s="2">
        <f>_Salesdata[[#This Row],[Unit_Price]] * _Salesdata[[#This Row],[Quantity_Sold]]</f>
        <v>75888.479999999996</v>
      </c>
      <c r="P911" s="2">
        <f>_Salesdata[[#This Row],[Unit_Cost]] * _Salesdata[[#This Row],[Quantity_Sold]]</f>
        <v>71322.880000000005</v>
      </c>
      <c r="Q911" s="2">
        <f>_Salesdata[[#This Row],[Gross_Sales]] - _Salesdata[[#This Row],[Total Cost]]</f>
        <v>4565.5999999999913</v>
      </c>
      <c r="R911" s="2"/>
    </row>
    <row r="912" spans="1:18" x14ac:dyDescent="0.25">
      <c r="A912">
        <v>1094</v>
      </c>
      <c r="B912" s="1">
        <v>44941</v>
      </c>
      <c r="C912" t="s">
        <v>17</v>
      </c>
      <c r="D912" t="s">
        <v>37</v>
      </c>
      <c r="E912" s="2">
        <v>8872.33</v>
      </c>
      <c r="F912">
        <v>45</v>
      </c>
      <c r="G912" t="s">
        <v>39</v>
      </c>
      <c r="H912" s="2">
        <v>4470.91</v>
      </c>
      <c r="I912" s="2">
        <v>4695.54</v>
      </c>
      <c r="J912" t="s">
        <v>20</v>
      </c>
      <c r="K912">
        <v>0.06</v>
      </c>
      <c r="L912" t="s">
        <v>21</v>
      </c>
      <c r="M912" t="s">
        <v>32</v>
      </c>
      <c r="N912" t="s">
        <v>47</v>
      </c>
      <c r="O912" s="2">
        <f>_Salesdata[[#This Row],[Unit_Price]] * _Salesdata[[#This Row],[Quantity_Sold]]</f>
        <v>211299.3</v>
      </c>
      <c r="P912" s="2">
        <f>_Salesdata[[#This Row],[Unit_Cost]] * _Salesdata[[#This Row],[Quantity_Sold]]</f>
        <v>201190.94999999998</v>
      </c>
      <c r="Q912" s="2">
        <f>_Salesdata[[#This Row],[Gross_Sales]] - _Salesdata[[#This Row],[Total Cost]]</f>
        <v>10108.350000000006</v>
      </c>
      <c r="R912" s="2"/>
    </row>
    <row r="913" spans="1:18" x14ac:dyDescent="0.25">
      <c r="A913">
        <v>1020</v>
      </c>
      <c r="B913" s="1">
        <v>45177</v>
      </c>
      <c r="C913" t="s">
        <v>48</v>
      </c>
      <c r="D913" t="s">
        <v>37</v>
      </c>
      <c r="E913" s="2">
        <v>9733.4699999999993</v>
      </c>
      <c r="F913">
        <v>26</v>
      </c>
      <c r="G913" t="s">
        <v>19</v>
      </c>
      <c r="H913" s="2">
        <v>4472.3500000000004</v>
      </c>
      <c r="I913" s="2">
        <v>4770.42</v>
      </c>
      <c r="J913" t="s">
        <v>27</v>
      </c>
      <c r="K913">
        <v>0.01</v>
      </c>
      <c r="L913" t="s">
        <v>28</v>
      </c>
      <c r="M913" t="s">
        <v>32</v>
      </c>
      <c r="N913" t="s">
        <v>52</v>
      </c>
      <c r="O913" s="2">
        <f>_Salesdata[[#This Row],[Unit_Price]] * _Salesdata[[#This Row],[Quantity_Sold]]</f>
        <v>124030.92</v>
      </c>
      <c r="P913" s="2">
        <f>_Salesdata[[#This Row],[Unit_Cost]] * _Salesdata[[#This Row],[Quantity_Sold]]</f>
        <v>116281.1</v>
      </c>
      <c r="Q913" s="2">
        <f>_Salesdata[[#This Row],[Gross_Sales]] - _Salesdata[[#This Row],[Total Cost]]</f>
        <v>7749.8199999999924</v>
      </c>
      <c r="R913" s="2"/>
    </row>
    <row r="914" spans="1:18" x14ac:dyDescent="0.25">
      <c r="A914">
        <v>1017</v>
      </c>
      <c r="B914" s="1">
        <v>45086</v>
      </c>
      <c r="C914" t="s">
        <v>35</v>
      </c>
      <c r="D914" t="s">
        <v>18</v>
      </c>
      <c r="E914" s="2">
        <v>2638.98</v>
      </c>
      <c r="F914">
        <v>35</v>
      </c>
      <c r="G914" t="s">
        <v>39</v>
      </c>
      <c r="H914" s="2">
        <v>4480.63</v>
      </c>
      <c r="I914" s="2">
        <v>4884.12</v>
      </c>
      <c r="J914" t="s">
        <v>27</v>
      </c>
      <c r="K914">
        <v>0.04</v>
      </c>
      <c r="L914" t="s">
        <v>21</v>
      </c>
      <c r="M914" t="s">
        <v>22</v>
      </c>
      <c r="N914" t="s">
        <v>36</v>
      </c>
      <c r="O914" s="2">
        <f>_Salesdata[[#This Row],[Unit_Price]] * _Salesdata[[#This Row],[Quantity_Sold]]</f>
        <v>170944.19999999998</v>
      </c>
      <c r="P914" s="2">
        <f>_Salesdata[[#This Row],[Unit_Cost]] * _Salesdata[[#This Row],[Quantity_Sold]]</f>
        <v>156822.05000000002</v>
      </c>
      <c r="Q914" s="2">
        <f>_Salesdata[[#This Row],[Gross_Sales]] - _Salesdata[[#This Row],[Total Cost]]</f>
        <v>14122.149999999965</v>
      </c>
      <c r="R914" s="2"/>
    </row>
    <row r="915" spans="1:18" x14ac:dyDescent="0.25">
      <c r="A915">
        <v>1035</v>
      </c>
      <c r="B915" s="1">
        <v>44960</v>
      </c>
      <c r="C915" t="s">
        <v>35</v>
      </c>
      <c r="D915" t="s">
        <v>37</v>
      </c>
      <c r="E915" s="2">
        <v>1736.32</v>
      </c>
      <c r="F915">
        <v>5</v>
      </c>
      <c r="G915" t="s">
        <v>31</v>
      </c>
      <c r="H915" s="2">
        <v>4483.8500000000004</v>
      </c>
      <c r="I915" s="2">
        <v>4795.42</v>
      </c>
      <c r="J915" t="s">
        <v>20</v>
      </c>
      <c r="K915">
        <v>0.23</v>
      </c>
      <c r="L915" t="s">
        <v>21</v>
      </c>
      <c r="M915" t="s">
        <v>22</v>
      </c>
      <c r="N915" t="s">
        <v>38</v>
      </c>
      <c r="O915" s="2">
        <f>_Salesdata[[#This Row],[Unit_Price]] * _Salesdata[[#This Row],[Quantity_Sold]]</f>
        <v>23977.1</v>
      </c>
      <c r="P915" s="2">
        <f>_Salesdata[[#This Row],[Unit_Cost]] * _Salesdata[[#This Row],[Quantity_Sold]]</f>
        <v>22419.25</v>
      </c>
      <c r="Q915" s="2">
        <f>_Salesdata[[#This Row],[Gross_Sales]] - _Salesdata[[#This Row],[Total Cost]]</f>
        <v>1557.8499999999985</v>
      </c>
      <c r="R915" s="2"/>
    </row>
    <row r="916" spans="1:18" x14ac:dyDescent="0.25">
      <c r="A916">
        <v>1099</v>
      </c>
      <c r="B916" s="1">
        <v>45019</v>
      </c>
      <c r="C916" t="s">
        <v>24</v>
      </c>
      <c r="D916" t="s">
        <v>37</v>
      </c>
      <c r="E916" s="2">
        <v>2571.7199999999998</v>
      </c>
      <c r="F916">
        <v>30</v>
      </c>
      <c r="G916" t="s">
        <v>39</v>
      </c>
      <c r="H916" s="2">
        <v>4495.82</v>
      </c>
      <c r="I916" s="2">
        <v>4794.0099999999902</v>
      </c>
      <c r="J916" t="s">
        <v>27</v>
      </c>
      <c r="K916">
        <v>0.18</v>
      </c>
      <c r="L916" t="s">
        <v>44</v>
      </c>
      <c r="M916" t="s">
        <v>32</v>
      </c>
      <c r="N916" t="s">
        <v>53</v>
      </c>
      <c r="O916" s="2">
        <f>_Salesdata[[#This Row],[Unit_Price]] * _Salesdata[[#This Row],[Quantity_Sold]]</f>
        <v>143820.2999999997</v>
      </c>
      <c r="P916" s="2">
        <f>_Salesdata[[#This Row],[Unit_Cost]] * _Salesdata[[#This Row],[Quantity_Sold]]</f>
        <v>134874.59999999998</v>
      </c>
      <c r="Q916" s="2">
        <f>_Salesdata[[#This Row],[Gross_Sales]] - _Salesdata[[#This Row],[Total Cost]]</f>
        <v>8945.6999999997206</v>
      </c>
      <c r="R916" s="2"/>
    </row>
    <row r="917" spans="1:18" x14ac:dyDescent="0.25">
      <c r="A917">
        <v>1090</v>
      </c>
      <c r="B917" s="1">
        <v>45108</v>
      </c>
      <c r="C917" t="s">
        <v>30</v>
      </c>
      <c r="D917" t="s">
        <v>37</v>
      </c>
      <c r="E917" s="2">
        <v>2150.0500000000002</v>
      </c>
      <c r="F917">
        <v>31</v>
      </c>
      <c r="G917" t="s">
        <v>39</v>
      </c>
      <c r="H917" s="2">
        <v>4496.8599999999997</v>
      </c>
      <c r="I917" s="2">
        <v>4880.7999999999902</v>
      </c>
      <c r="J917" t="s">
        <v>27</v>
      </c>
      <c r="K917">
        <v>0.06</v>
      </c>
      <c r="L917" t="s">
        <v>21</v>
      </c>
      <c r="M917" t="s">
        <v>32</v>
      </c>
      <c r="N917" t="s">
        <v>51</v>
      </c>
      <c r="O917" s="2">
        <f>_Salesdata[[#This Row],[Unit_Price]] * _Salesdata[[#This Row],[Quantity_Sold]]</f>
        <v>151304.7999999997</v>
      </c>
      <c r="P917" s="2">
        <f>_Salesdata[[#This Row],[Unit_Cost]] * _Salesdata[[#This Row],[Quantity_Sold]]</f>
        <v>139402.66</v>
      </c>
      <c r="Q917" s="2">
        <f>_Salesdata[[#This Row],[Gross_Sales]] - _Salesdata[[#This Row],[Total Cost]]</f>
        <v>11902.139999999694</v>
      </c>
      <c r="R917" s="2"/>
    </row>
    <row r="918" spans="1:18" x14ac:dyDescent="0.25">
      <c r="A918">
        <v>1016</v>
      </c>
      <c r="B918" s="1">
        <v>45039</v>
      </c>
      <c r="C918" t="s">
        <v>30</v>
      </c>
      <c r="D918" t="s">
        <v>40</v>
      </c>
      <c r="E918" s="2">
        <v>9961.9599999999991</v>
      </c>
      <c r="F918">
        <v>6</v>
      </c>
      <c r="G918" t="s">
        <v>39</v>
      </c>
      <c r="H918" s="2">
        <v>4502.09</v>
      </c>
      <c r="I918" s="2">
        <v>4879.72</v>
      </c>
      <c r="J918" t="s">
        <v>27</v>
      </c>
      <c r="K918">
        <v>0.13</v>
      </c>
      <c r="L918" t="s">
        <v>28</v>
      </c>
      <c r="M918" t="s">
        <v>22</v>
      </c>
      <c r="N918" t="s">
        <v>41</v>
      </c>
      <c r="O918" s="2">
        <f>_Salesdata[[#This Row],[Unit_Price]] * _Salesdata[[#This Row],[Quantity_Sold]]</f>
        <v>29278.32</v>
      </c>
      <c r="P918" s="2">
        <f>_Salesdata[[#This Row],[Unit_Cost]] * _Salesdata[[#This Row],[Quantity_Sold]]</f>
        <v>27012.54</v>
      </c>
      <c r="Q918" s="2">
        <f>_Salesdata[[#This Row],[Gross_Sales]] - _Salesdata[[#This Row],[Total Cost]]</f>
        <v>2265.7799999999988</v>
      </c>
      <c r="R918" s="2"/>
    </row>
    <row r="919" spans="1:18" x14ac:dyDescent="0.25">
      <c r="A919">
        <v>1006</v>
      </c>
      <c r="B919" s="1">
        <v>45195</v>
      </c>
      <c r="C919" t="s">
        <v>17</v>
      </c>
      <c r="D919" t="s">
        <v>18</v>
      </c>
      <c r="E919" s="2">
        <v>6954.35</v>
      </c>
      <c r="F919">
        <v>14</v>
      </c>
      <c r="G919" t="s">
        <v>31</v>
      </c>
      <c r="H919" s="2">
        <v>4503.7299999999996</v>
      </c>
      <c r="I919" s="2">
        <v>4879.8799999999901</v>
      </c>
      <c r="J919" t="s">
        <v>27</v>
      </c>
      <c r="K919">
        <v>0.24</v>
      </c>
      <c r="L919" t="s">
        <v>44</v>
      </c>
      <c r="M919" t="s">
        <v>32</v>
      </c>
      <c r="N919" t="s">
        <v>23</v>
      </c>
      <c r="O919" s="2">
        <f>_Salesdata[[#This Row],[Unit_Price]] * _Salesdata[[#This Row],[Quantity_Sold]]</f>
        <v>68318.319999999861</v>
      </c>
      <c r="P919" s="2">
        <f>_Salesdata[[#This Row],[Unit_Cost]] * _Salesdata[[#This Row],[Quantity_Sold]]</f>
        <v>63052.219999999994</v>
      </c>
      <c r="Q919" s="2">
        <f>_Salesdata[[#This Row],[Gross_Sales]] - _Salesdata[[#This Row],[Total Cost]]</f>
        <v>5266.0999999998676</v>
      </c>
      <c r="R919" s="2"/>
    </row>
    <row r="920" spans="1:18" x14ac:dyDescent="0.25">
      <c r="A920">
        <v>1075</v>
      </c>
      <c r="B920" s="1">
        <v>44928</v>
      </c>
      <c r="C920" t="s">
        <v>30</v>
      </c>
      <c r="D920" t="s">
        <v>25</v>
      </c>
      <c r="E920" s="2">
        <v>919.09</v>
      </c>
      <c r="F920">
        <v>26</v>
      </c>
      <c r="G920" t="s">
        <v>26</v>
      </c>
      <c r="H920" s="2">
        <v>4535.38</v>
      </c>
      <c r="I920" s="2">
        <v>4557.5600000000004</v>
      </c>
      <c r="J920" t="s">
        <v>27</v>
      </c>
      <c r="K920">
        <v>0</v>
      </c>
      <c r="L920" t="s">
        <v>28</v>
      </c>
      <c r="M920" t="s">
        <v>22</v>
      </c>
      <c r="N920" t="s">
        <v>45</v>
      </c>
      <c r="O920" s="2">
        <f>_Salesdata[[#This Row],[Unit_Price]] * _Salesdata[[#This Row],[Quantity_Sold]]</f>
        <v>118496.56000000001</v>
      </c>
      <c r="P920" s="2">
        <f>_Salesdata[[#This Row],[Unit_Cost]] * _Salesdata[[#This Row],[Quantity_Sold]]</f>
        <v>117919.88</v>
      </c>
      <c r="Q920" s="2">
        <f>_Salesdata[[#This Row],[Gross_Sales]] - _Salesdata[[#This Row],[Total Cost]]</f>
        <v>576.68000000000757</v>
      </c>
      <c r="R920" s="2"/>
    </row>
    <row r="921" spans="1:18" x14ac:dyDescent="0.25">
      <c r="A921">
        <v>1048</v>
      </c>
      <c r="B921" s="1">
        <v>44980</v>
      </c>
      <c r="C921" t="s">
        <v>17</v>
      </c>
      <c r="D921" t="s">
        <v>25</v>
      </c>
      <c r="E921" s="2">
        <v>7066.63</v>
      </c>
      <c r="F921">
        <v>47</v>
      </c>
      <c r="G921" t="s">
        <v>31</v>
      </c>
      <c r="H921" s="2">
        <v>4535.8599999999997</v>
      </c>
      <c r="I921" s="2">
        <v>4641.41</v>
      </c>
      <c r="J921" t="s">
        <v>27</v>
      </c>
      <c r="K921">
        <v>0.27</v>
      </c>
      <c r="L921" t="s">
        <v>28</v>
      </c>
      <c r="M921" t="s">
        <v>32</v>
      </c>
      <c r="N921" t="s">
        <v>34</v>
      </c>
      <c r="O921" s="2">
        <f>_Salesdata[[#This Row],[Unit_Price]] * _Salesdata[[#This Row],[Quantity_Sold]]</f>
        <v>218146.27</v>
      </c>
      <c r="P921" s="2">
        <f>_Salesdata[[#This Row],[Unit_Cost]] * _Salesdata[[#This Row],[Quantity_Sold]]</f>
        <v>213185.41999999998</v>
      </c>
      <c r="Q921" s="2">
        <f>_Salesdata[[#This Row],[Gross_Sales]] - _Salesdata[[#This Row],[Total Cost]]</f>
        <v>4960.8500000000058</v>
      </c>
      <c r="R921" s="2"/>
    </row>
    <row r="922" spans="1:18" x14ac:dyDescent="0.25">
      <c r="A922">
        <v>1078</v>
      </c>
      <c r="B922" s="1">
        <v>44938</v>
      </c>
      <c r="C922" t="s">
        <v>48</v>
      </c>
      <c r="D922" t="s">
        <v>18</v>
      </c>
      <c r="E922" s="2">
        <v>4481.2</v>
      </c>
      <c r="F922">
        <v>36</v>
      </c>
      <c r="G922" t="s">
        <v>31</v>
      </c>
      <c r="H922" s="2">
        <v>4548.88</v>
      </c>
      <c r="I922" s="2">
        <v>4853.41</v>
      </c>
      <c r="J922" t="s">
        <v>20</v>
      </c>
      <c r="K922">
        <v>0.25</v>
      </c>
      <c r="L922" t="s">
        <v>28</v>
      </c>
      <c r="M922" t="s">
        <v>32</v>
      </c>
      <c r="N922" t="s">
        <v>54</v>
      </c>
      <c r="O922" s="2">
        <f>_Salesdata[[#This Row],[Unit_Price]] * _Salesdata[[#This Row],[Quantity_Sold]]</f>
        <v>174722.76</v>
      </c>
      <c r="P922" s="2">
        <f>_Salesdata[[#This Row],[Unit_Cost]] * _Salesdata[[#This Row],[Quantity_Sold]]</f>
        <v>163759.67999999999</v>
      </c>
      <c r="Q922" s="2">
        <f>_Salesdata[[#This Row],[Gross_Sales]] - _Salesdata[[#This Row],[Total Cost]]</f>
        <v>10963.080000000016</v>
      </c>
      <c r="R922" s="2"/>
    </row>
    <row r="923" spans="1:18" x14ac:dyDescent="0.25">
      <c r="A923">
        <v>1004</v>
      </c>
      <c r="B923" s="1">
        <v>45016</v>
      </c>
      <c r="C923" t="s">
        <v>35</v>
      </c>
      <c r="D923" t="s">
        <v>18</v>
      </c>
      <c r="E923" s="2">
        <v>6744.46</v>
      </c>
      <c r="F923">
        <v>12</v>
      </c>
      <c r="G923" t="s">
        <v>19</v>
      </c>
      <c r="H923" s="2">
        <v>4553.2299999999996</v>
      </c>
      <c r="I923" s="2">
        <v>5038.74</v>
      </c>
      <c r="J923" t="s">
        <v>27</v>
      </c>
      <c r="K923">
        <v>0.09</v>
      </c>
      <c r="L923" t="s">
        <v>28</v>
      </c>
      <c r="M923" t="s">
        <v>32</v>
      </c>
      <c r="N923" t="s">
        <v>36</v>
      </c>
      <c r="O923" s="2">
        <f>_Salesdata[[#This Row],[Unit_Price]] * _Salesdata[[#This Row],[Quantity_Sold]]</f>
        <v>60464.88</v>
      </c>
      <c r="P923" s="2">
        <f>_Salesdata[[#This Row],[Unit_Cost]] * _Salesdata[[#This Row],[Quantity_Sold]]</f>
        <v>54638.759999999995</v>
      </c>
      <c r="Q923" s="2">
        <f>_Salesdata[[#This Row],[Gross_Sales]] - _Salesdata[[#This Row],[Total Cost]]</f>
        <v>5826.1200000000026</v>
      </c>
      <c r="R923" s="2"/>
    </row>
    <row r="924" spans="1:18" x14ac:dyDescent="0.25">
      <c r="A924">
        <v>1054</v>
      </c>
      <c r="B924" s="1">
        <v>45184</v>
      </c>
      <c r="C924" t="s">
        <v>17</v>
      </c>
      <c r="D924" t="s">
        <v>40</v>
      </c>
      <c r="E924" s="2">
        <v>2509.63</v>
      </c>
      <c r="F924">
        <v>16</v>
      </c>
      <c r="G924" t="s">
        <v>26</v>
      </c>
      <c r="H924" s="2">
        <v>4557.79</v>
      </c>
      <c r="I924" s="2">
        <v>5043.3599999999997</v>
      </c>
      <c r="J924" t="s">
        <v>20</v>
      </c>
      <c r="K924">
        <v>0.14000000000000001</v>
      </c>
      <c r="L924" t="s">
        <v>28</v>
      </c>
      <c r="M924" t="s">
        <v>32</v>
      </c>
      <c r="N924" t="s">
        <v>42</v>
      </c>
      <c r="O924" s="2">
        <f>_Salesdata[[#This Row],[Unit_Price]] * _Salesdata[[#This Row],[Quantity_Sold]]</f>
        <v>80693.759999999995</v>
      </c>
      <c r="P924" s="2">
        <f>_Salesdata[[#This Row],[Unit_Cost]] * _Salesdata[[#This Row],[Quantity_Sold]]</f>
        <v>72924.639999999999</v>
      </c>
      <c r="Q924" s="2">
        <f>_Salesdata[[#This Row],[Gross_Sales]] - _Salesdata[[#This Row],[Total Cost]]</f>
        <v>7769.1199999999953</v>
      </c>
      <c r="R924" s="2"/>
    </row>
    <row r="925" spans="1:18" x14ac:dyDescent="0.25">
      <c r="A925">
        <v>1006</v>
      </c>
      <c r="B925" s="1">
        <v>45074</v>
      </c>
      <c r="C925" t="s">
        <v>17</v>
      </c>
      <c r="D925" t="s">
        <v>37</v>
      </c>
      <c r="E925" s="2">
        <v>8109.33</v>
      </c>
      <c r="F925">
        <v>11</v>
      </c>
      <c r="G925" t="s">
        <v>31</v>
      </c>
      <c r="H925" s="2">
        <v>4562.58</v>
      </c>
      <c r="I925" s="2">
        <v>4925.17</v>
      </c>
      <c r="J925" t="s">
        <v>27</v>
      </c>
      <c r="K925">
        <v>0.23</v>
      </c>
      <c r="L925" t="s">
        <v>21</v>
      </c>
      <c r="M925" t="s">
        <v>32</v>
      </c>
      <c r="N925" t="s">
        <v>47</v>
      </c>
      <c r="O925" s="2">
        <f>_Salesdata[[#This Row],[Unit_Price]] * _Salesdata[[#This Row],[Quantity_Sold]]</f>
        <v>54176.87</v>
      </c>
      <c r="P925" s="2">
        <f>_Salesdata[[#This Row],[Unit_Cost]] * _Salesdata[[#This Row],[Quantity_Sold]]</f>
        <v>50188.38</v>
      </c>
      <c r="Q925" s="2">
        <f>_Salesdata[[#This Row],[Gross_Sales]] - _Salesdata[[#This Row],[Total Cost]]</f>
        <v>3988.4900000000052</v>
      </c>
      <c r="R925" s="2"/>
    </row>
    <row r="926" spans="1:18" x14ac:dyDescent="0.25">
      <c r="A926">
        <v>1057</v>
      </c>
      <c r="B926" s="1">
        <v>45085</v>
      </c>
      <c r="C926" t="s">
        <v>35</v>
      </c>
      <c r="D926" t="s">
        <v>18</v>
      </c>
      <c r="E926" s="2">
        <v>1605.28</v>
      </c>
      <c r="F926">
        <v>43</v>
      </c>
      <c r="G926" t="s">
        <v>39</v>
      </c>
      <c r="H926" s="2">
        <v>4567.3900000000003</v>
      </c>
      <c r="I926" s="2">
        <v>4958.78</v>
      </c>
      <c r="J926" t="s">
        <v>27</v>
      </c>
      <c r="K926">
        <v>0.04</v>
      </c>
      <c r="L926" t="s">
        <v>21</v>
      </c>
      <c r="M926" t="s">
        <v>32</v>
      </c>
      <c r="N926" t="s">
        <v>36</v>
      </c>
      <c r="O926" s="2">
        <f>_Salesdata[[#This Row],[Unit_Price]] * _Salesdata[[#This Row],[Quantity_Sold]]</f>
        <v>213227.53999999998</v>
      </c>
      <c r="P926" s="2">
        <f>_Salesdata[[#This Row],[Unit_Cost]] * _Salesdata[[#This Row],[Quantity_Sold]]</f>
        <v>196397.77000000002</v>
      </c>
      <c r="Q926" s="2">
        <f>_Salesdata[[#This Row],[Gross_Sales]] - _Salesdata[[#This Row],[Total Cost]]</f>
        <v>16829.76999999996</v>
      </c>
      <c r="R926" s="2"/>
    </row>
    <row r="927" spans="1:18" x14ac:dyDescent="0.25">
      <c r="A927">
        <v>1049</v>
      </c>
      <c r="B927" s="1">
        <v>45060</v>
      </c>
      <c r="C927" t="s">
        <v>48</v>
      </c>
      <c r="D927" t="s">
        <v>40</v>
      </c>
      <c r="E927" s="2">
        <v>9298.48</v>
      </c>
      <c r="F927">
        <v>22</v>
      </c>
      <c r="G927" t="s">
        <v>26</v>
      </c>
      <c r="H927" s="2">
        <v>4573.6899999999996</v>
      </c>
      <c r="I927" s="2">
        <v>4820.2999999999902</v>
      </c>
      <c r="J927" t="s">
        <v>27</v>
      </c>
      <c r="K927">
        <v>0.04</v>
      </c>
      <c r="L927" t="s">
        <v>21</v>
      </c>
      <c r="M927" t="s">
        <v>22</v>
      </c>
      <c r="N927" t="s">
        <v>50</v>
      </c>
      <c r="O927" s="2">
        <f>_Salesdata[[#This Row],[Unit_Price]] * _Salesdata[[#This Row],[Quantity_Sold]]</f>
        <v>106046.59999999979</v>
      </c>
      <c r="P927" s="2">
        <f>_Salesdata[[#This Row],[Unit_Cost]] * _Salesdata[[#This Row],[Quantity_Sold]]</f>
        <v>100621.18</v>
      </c>
      <c r="Q927" s="2">
        <f>_Salesdata[[#This Row],[Gross_Sales]] - _Salesdata[[#This Row],[Total Cost]]</f>
        <v>5425.4199999997945</v>
      </c>
      <c r="R927" s="2"/>
    </row>
    <row r="928" spans="1:18" x14ac:dyDescent="0.25">
      <c r="A928">
        <v>1088</v>
      </c>
      <c r="B928" s="1">
        <v>45279</v>
      </c>
      <c r="C928" t="s">
        <v>24</v>
      </c>
      <c r="D928" t="s">
        <v>18</v>
      </c>
      <c r="E928" s="2">
        <v>8452.1299999999992</v>
      </c>
      <c r="F928">
        <v>20</v>
      </c>
      <c r="G928" t="s">
        <v>19</v>
      </c>
      <c r="H928" s="2">
        <v>4590.24</v>
      </c>
      <c r="I928" s="2">
        <v>5088.28</v>
      </c>
      <c r="J928" t="s">
        <v>27</v>
      </c>
      <c r="K928">
        <v>0.16</v>
      </c>
      <c r="L928" t="s">
        <v>44</v>
      </c>
      <c r="M928" t="s">
        <v>32</v>
      </c>
      <c r="N928" t="s">
        <v>46</v>
      </c>
      <c r="O928" s="2">
        <f>_Salesdata[[#This Row],[Unit_Price]] * _Salesdata[[#This Row],[Quantity_Sold]]</f>
        <v>101765.59999999999</v>
      </c>
      <c r="P928" s="2">
        <f>_Salesdata[[#This Row],[Unit_Cost]] * _Salesdata[[#This Row],[Quantity_Sold]]</f>
        <v>91804.799999999988</v>
      </c>
      <c r="Q928" s="2">
        <f>_Salesdata[[#This Row],[Gross_Sales]] - _Salesdata[[#This Row],[Total Cost]]</f>
        <v>9960.8000000000029</v>
      </c>
      <c r="R928" s="2"/>
    </row>
    <row r="929" spans="1:18" x14ac:dyDescent="0.25">
      <c r="A929">
        <v>1066</v>
      </c>
      <c r="B929" s="1">
        <v>45204</v>
      </c>
      <c r="C929" t="s">
        <v>24</v>
      </c>
      <c r="D929" t="s">
        <v>40</v>
      </c>
      <c r="E929" s="2">
        <v>3530.59</v>
      </c>
      <c r="F929">
        <v>4</v>
      </c>
      <c r="G929" t="s">
        <v>39</v>
      </c>
      <c r="H929" s="2">
        <v>4596.68</v>
      </c>
      <c r="I929" s="2">
        <v>5044.74</v>
      </c>
      <c r="J929" t="s">
        <v>27</v>
      </c>
      <c r="K929">
        <v>0.01</v>
      </c>
      <c r="L929" t="s">
        <v>44</v>
      </c>
      <c r="M929" t="s">
        <v>22</v>
      </c>
      <c r="N929" t="s">
        <v>55</v>
      </c>
      <c r="O929" s="2">
        <f>_Salesdata[[#This Row],[Unit_Price]] * _Salesdata[[#This Row],[Quantity_Sold]]</f>
        <v>20178.96</v>
      </c>
      <c r="P929" s="2">
        <f>_Salesdata[[#This Row],[Unit_Cost]] * _Salesdata[[#This Row],[Quantity_Sold]]</f>
        <v>18386.72</v>
      </c>
      <c r="Q929" s="2">
        <f>_Salesdata[[#This Row],[Gross_Sales]] - _Salesdata[[#This Row],[Total Cost]]</f>
        <v>1792.239999999998</v>
      </c>
      <c r="R929" s="2"/>
    </row>
    <row r="930" spans="1:18" x14ac:dyDescent="0.25">
      <c r="A930">
        <v>1029</v>
      </c>
      <c r="B930" s="1">
        <v>45140</v>
      </c>
      <c r="C930" t="s">
        <v>48</v>
      </c>
      <c r="D930" t="s">
        <v>40</v>
      </c>
      <c r="E930" s="2">
        <v>2855.85</v>
      </c>
      <c r="F930">
        <v>46</v>
      </c>
      <c r="G930" t="s">
        <v>39</v>
      </c>
      <c r="H930" s="2">
        <v>4609.66</v>
      </c>
      <c r="I930" s="2">
        <v>4879.1499999999996</v>
      </c>
      <c r="J930" t="s">
        <v>20</v>
      </c>
      <c r="K930">
        <v>0.3</v>
      </c>
      <c r="L930" t="s">
        <v>21</v>
      </c>
      <c r="M930" t="s">
        <v>32</v>
      </c>
      <c r="N930" t="s">
        <v>50</v>
      </c>
      <c r="O930" s="2">
        <f>_Salesdata[[#This Row],[Unit_Price]] * _Salesdata[[#This Row],[Quantity_Sold]]</f>
        <v>224440.9</v>
      </c>
      <c r="P930" s="2">
        <f>_Salesdata[[#This Row],[Unit_Cost]] * _Salesdata[[#This Row],[Quantity_Sold]]</f>
        <v>212044.36</v>
      </c>
      <c r="Q930" s="2">
        <f>_Salesdata[[#This Row],[Gross_Sales]] - _Salesdata[[#This Row],[Total Cost]]</f>
        <v>12396.540000000008</v>
      </c>
      <c r="R930" s="2"/>
    </row>
    <row r="931" spans="1:18" x14ac:dyDescent="0.25">
      <c r="A931">
        <v>1054</v>
      </c>
      <c r="B931" s="1">
        <v>45135</v>
      </c>
      <c r="C931" t="s">
        <v>30</v>
      </c>
      <c r="D931" t="s">
        <v>18</v>
      </c>
      <c r="E931" s="2">
        <v>768.28</v>
      </c>
      <c r="F931">
        <v>20</v>
      </c>
      <c r="G931" t="s">
        <v>19</v>
      </c>
      <c r="H931" s="2">
        <v>4622.1400000000003</v>
      </c>
      <c r="I931" s="2">
        <v>5122.07</v>
      </c>
      <c r="J931" t="s">
        <v>27</v>
      </c>
      <c r="K931">
        <v>0.26</v>
      </c>
      <c r="L931" t="s">
        <v>21</v>
      </c>
      <c r="M931" t="s">
        <v>32</v>
      </c>
      <c r="N931" t="s">
        <v>33</v>
      </c>
      <c r="O931" s="2">
        <f>_Salesdata[[#This Row],[Unit_Price]] * _Salesdata[[#This Row],[Quantity_Sold]]</f>
        <v>102441.4</v>
      </c>
      <c r="P931" s="2">
        <f>_Salesdata[[#This Row],[Unit_Cost]] * _Salesdata[[#This Row],[Quantity_Sold]]</f>
        <v>92442.8</v>
      </c>
      <c r="Q931" s="2">
        <f>_Salesdata[[#This Row],[Gross_Sales]] - _Salesdata[[#This Row],[Total Cost]]</f>
        <v>9998.5999999999913</v>
      </c>
      <c r="R931" s="2"/>
    </row>
    <row r="932" spans="1:18" x14ac:dyDescent="0.25">
      <c r="A932">
        <v>1092</v>
      </c>
      <c r="B932" s="1">
        <v>44946</v>
      </c>
      <c r="C932" t="s">
        <v>35</v>
      </c>
      <c r="D932" t="s">
        <v>18</v>
      </c>
      <c r="E932" s="2">
        <v>2729.27</v>
      </c>
      <c r="F932">
        <v>40</v>
      </c>
      <c r="G932" t="s">
        <v>26</v>
      </c>
      <c r="H932" s="2">
        <v>4624.16</v>
      </c>
      <c r="I932" s="2">
        <v>4731.9799999999996</v>
      </c>
      <c r="J932" t="s">
        <v>27</v>
      </c>
      <c r="K932">
        <v>0.2</v>
      </c>
      <c r="L932" t="s">
        <v>44</v>
      </c>
      <c r="M932" t="s">
        <v>32</v>
      </c>
      <c r="N932" t="s">
        <v>36</v>
      </c>
      <c r="O932" s="2">
        <f>_Salesdata[[#This Row],[Unit_Price]] * _Salesdata[[#This Row],[Quantity_Sold]]</f>
        <v>189279.19999999998</v>
      </c>
      <c r="P932" s="2">
        <f>_Salesdata[[#This Row],[Unit_Cost]] * _Salesdata[[#This Row],[Quantity_Sold]]</f>
        <v>184966.39999999999</v>
      </c>
      <c r="Q932" s="2">
        <f>_Salesdata[[#This Row],[Gross_Sales]] - _Salesdata[[#This Row],[Total Cost]]</f>
        <v>4312.7999999999884</v>
      </c>
      <c r="R932" s="2"/>
    </row>
    <row r="933" spans="1:18" x14ac:dyDescent="0.25">
      <c r="A933">
        <v>1013</v>
      </c>
      <c r="B933" s="1">
        <v>44960</v>
      </c>
      <c r="C933" t="s">
        <v>17</v>
      </c>
      <c r="D933" t="s">
        <v>37</v>
      </c>
      <c r="E933" s="2">
        <v>6520.2</v>
      </c>
      <c r="F933">
        <v>42</v>
      </c>
      <c r="G933" t="s">
        <v>19</v>
      </c>
      <c r="H933" s="2">
        <v>4625.33</v>
      </c>
      <c r="I933" s="2">
        <v>4642.83</v>
      </c>
      <c r="J933" t="s">
        <v>27</v>
      </c>
      <c r="K933">
        <v>0.19</v>
      </c>
      <c r="L933" t="s">
        <v>28</v>
      </c>
      <c r="M933" t="s">
        <v>22</v>
      </c>
      <c r="N933" t="s">
        <v>47</v>
      </c>
      <c r="O933" s="2">
        <f>_Salesdata[[#This Row],[Unit_Price]] * _Salesdata[[#This Row],[Quantity_Sold]]</f>
        <v>194998.86</v>
      </c>
      <c r="P933" s="2">
        <f>_Salesdata[[#This Row],[Unit_Cost]] * _Salesdata[[#This Row],[Quantity_Sold]]</f>
        <v>194263.86</v>
      </c>
      <c r="Q933" s="2">
        <f>_Salesdata[[#This Row],[Gross_Sales]] - _Salesdata[[#This Row],[Total Cost]]</f>
        <v>735</v>
      </c>
      <c r="R933" s="2"/>
    </row>
    <row r="934" spans="1:18" x14ac:dyDescent="0.25">
      <c r="A934">
        <v>1099</v>
      </c>
      <c r="B934" s="1">
        <v>44929</v>
      </c>
      <c r="C934" t="s">
        <v>17</v>
      </c>
      <c r="D934" t="s">
        <v>18</v>
      </c>
      <c r="E934" s="2">
        <v>5613.1</v>
      </c>
      <c r="F934">
        <v>31</v>
      </c>
      <c r="G934" t="s">
        <v>39</v>
      </c>
      <c r="H934" s="2">
        <v>4632.8500000000004</v>
      </c>
      <c r="I934" s="2">
        <v>4711.7</v>
      </c>
      <c r="J934" t="s">
        <v>27</v>
      </c>
      <c r="K934">
        <v>0.21</v>
      </c>
      <c r="L934" t="s">
        <v>21</v>
      </c>
      <c r="M934" t="s">
        <v>32</v>
      </c>
      <c r="N934" t="s">
        <v>23</v>
      </c>
      <c r="O934" s="2">
        <f>_Salesdata[[#This Row],[Unit_Price]] * _Salesdata[[#This Row],[Quantity_Sold]]</f>
        <v>146062.69999999998</v>
      </c>
      <c r="P934" s="2">
        <f>_Salesdata[[#This Row],[Unit_Cost]] * _Salesdata[[#This Row],[Quantity_Sold]]</f>
        <v>143618.35</v>
      </c>
      <c r="Q934" s="2">
        <f>_Salesdata[[#This Row],[Gross_Sales]] - _Salesdata[[#This Row],[Total Cost]]</f>
        <v>2444.3499999999767</v>
      </c>
      <c r="R934" s="2"/>
    </row>
    <row r="935" spans="1:18" x14ac:dyDescent="0.25">
      <c r="A935">
        <v>1008</v>
      </c>
      <c r="B935" s="1">
        <v>44927</v>
      </c>
      <c r="C935" t="s">
        <v>48</v>
      </c>
      <c r="D935" t="s">
        <v>37</v>
      </c>
      <c r="E935" s="2">
        <v>5227.8100000000004</v>
      </c>
      <c r="F935">
        <v>38</v>
      </c>
      <c r="G935" t="s">
        <v>19</v>
      </c>
      <c r="H935" s="2">
        <v>4635.2299999999996</v>
      </c>
      <c r="I935" s="2">
        <v>5075.4399999999996</v>
      </c>
      <c r="J935" t="s">
        <v>20</v>
      </c>
      <c r="K935">
        <v>0.05</v>
      </c>
      <c r="L935" t="s">
        <v>21</v>
      </c>
      <c r="M935" t="s">
        <v>22</v>
      </c>
      <c r="N935" t="s">
        <v>52</v>
      </c>
      <c r="O935" s="2">
        <f>_Salesdata[[#This Row],[Unit_Price]] * _Salesdata[[#This Row],[Quantity_Sold]]</f>
        <v>192866.71999999997</v>
      </c>
      <c r="P935" s="2">
        <f>_Salesdata[[#This Row],[Unit_Cost]] * _Salesdata[[#This Row],[Quantity_Sold]]</f>
        <v>176138.74</v>
      </c>
      <c r="Q935" s="2">
        <f>_Salesdata[[#This Row],[Gross_Sales]] - _Salesdata[[#This Row],[Total Cost]]</f>
        <v>16727.979999999981</v>
      </c>
      <c r="R935" s="2"/>
    </row>
    <row r="936" spans="1:18" x14ac:dyDescent="0.25">
      <c r="A936">
        <v>1053</v>
      </c>
      <c r="B936" s="1">
        <v>45087</v>
      </c>
      <c r="C936" t="s">
        <v>35</v>
      </c>
      <c r="D936" t="s">
        <v>18</v>
      </c>
      <c r="E936" s="2">
        <v>1554.53</v>
      </c>
      <c r="F936">
        <v>39</v>
      </c>
      <c r="G936" t="s">
        <v>39</v>
      </c>
      <c r="H936" s="2">
        <v>4643.67</v>
      </c>
      <c r="I936" s="2">
        <v>4829.5200000000004</v>
      </c>
      <c r="J936" t="s">
        <v>20</v>
      </c>
      <c r="K936">
        <v>0.17</v>
      </c>
      <c r="L936" t="s">
        <v>44</v>
      </c>
      <c r="M936" t="s">
        <v>22</v>
      </c>
      <c r="N936" t="s">
        <v>36</v>
      </c>
      <c r="O936" s="2">
        <f>_Salesdata[[#This Row],[Unit_Price]] * _Salesdata[[#This Row],[Quantity_Sold]]</f>
        <v>188351.28000000003</v>
      </c>
      <c r="P936" s="2">
        <f>_Salesdata[[#This Row],[Unit_Cost]] * _Salesdata[[#This Row],[Quantity_Sold]]</f>
        <v>181103.13</v>
      </c>
      <c r="Q936" s="2">
        <f>_Salesdata[[#This Row],[Gross_Sales]] - _Salesdata[[#This Row],[Total Cost]]</f>
        <v>7248.1500000000233</v>
      </c>
      <c r="R936" s="2"/>
    </row>
    <row r="937" spans="1:18" x14ac:dyDescent="0.25">
      <c r="A937">
        <v>1002</v>
      </c>
      <c r="B937" s="1">
        <v>45219</v>
      </c>
      <c r="C937" t="s">
        <v>30</v>
      </c>
      <c r="D937" t="s">
        <v>37</v>
      </c>
      <c r="E937" s="2">
        <v>5842.88</v>
      </c>
      <c r="F937">
        <v>30</v>
      </c>
      <c r="G937" t="s">
        <v>19</v>
      </c>
      <c r="H937" s="2">
        <v>4646.55</v>
      </c>
      <c r="I937" s="2">
        <v>4784.28</v>
      </c>
      <c r="J937" t="s">
        <v>20</v>
      </c>
      <c r="K937">
        <v>0.1</v>
      </c>
      <c r="L937" t="s">
        <v>28</v>
      </c>
      <c r="M937" t="s">
        <v>32</v>
      </c>
      <c r="N937" t="s">
        <v>51</v>
      </c>
      <c r="O937" s="2">
        <f>_Salesdata[[#This Row],[Unit_Price]] * _Salesdata[[#This Row],[Quantity_Sold]]</f>
        <v>143528.4</v>
      </c>
      <c r="P937" s="2">
        <f>_Salesdata[[#This Row],[Unit_Cost]] * _Salesdata[[#This Row],[Quantity_Sold]]</f>
        <v>139396.5</v>
      </c>
      <c r="Q937" s="2">
        <f>_Salesdata[[#This Row],[Gross_Sales]] - _Salesdata[[#This Row],[Total Cost]]</f>
        <v>4131.8999999999942</v>
      </c>
      <c r="R937" s="2"/>
    </row>
    <row r="938" spans="1:18" x14ac:dyDescent="0.25">
      <c r="A938">
        <v>1061</v>
      </c>
      <c r="B938" s="1">
        <v>45215</v>
      </c>
      <c r="C938" t="s">
        <v>48</v>
      </c>
      <c r="D938" t="s">
        <v>18</v>
      </c>
      <c r="E938" s="2">
        <v>2227.64</v>
      </c>
      <c r="F938">
        <v>37</v>
      </c>
      <c r="G938" t="s">
        <v>39</v>
      </c>
      <c r="H938" s="2">
        <v>4651.7700000000004</v>
      </c>
      <c r="I938" s="2">
        <v>4984.3900000000003</v>
      </c>
      <c r="J938" t="s">
        <v>20</v>
      </c>
      <c r="K938">
        <v>0.12</v>
      </c>
      <c r="L938" t="s">
        <v>21</v>
      </c>
      <c r="M938" t="s">
        <v>32</v>
      </c>
      <c r="N938" t="s">
        <v>54</v>
      </c>
      <c r="O938" s="2">
        <f>_Salesdata[[#This Row],[Unit_Price]] * _Salesdata[[#This Row],[Quantity_Sold]]</f>
        <v>184422.43000000002</v>
      </c>
      <c r="P938" s="2">
        <f>_Salesdata[[#This Row],[Unit_Cost]] * _Salesdata[[#This Row],[Quantity_Sold]]</f>
        <v>172115.49000000002</v>
      </c>
      <c r="Q938" s="2">
        <f>_Salesdata[[#This Row],[Gross_Sales]] - _Salesdata[[#This Row],[Total Cost]]</f>
        <v>12306.940000000002</v>
      </c>
      <c r="R938" s="2"/>
    </row>
    <row r="939" spans="1:18" x14ac:dyDescent="0.25">
      <c r="A939">
        <v>1062</v>
      </c>
      <c r="B939" s="1">
        <v>45190</v>
      </c>
      <c r="C939" t="s">
        <v>30</v>
      </c>
      <c r="D939" t="s">
        <v>37</v>
      </c>
      <c r="E939" s="2">
        <v>2994.59</v>
      </c>
      <c r="F939">
        <v>37</v>
      </c>
      <c r="G939" t="s">
        <v>26</v>
      </c>
      <c r="H939" s="2">
        <v>4658.4399999999996</v>
      </c>
      <c r="I939" s="2">
        <v>4823.5</v>
      </c>
      <c r="J939" t="s">
        <v>20</v>
      </c>
      <c r="K939">
        <v>0.14000000000000001</v>
      </c>
      <c r="L939" t="s">
        <v>28</v>
      </c>
      <c r="M939" t="s">
        <v>22</v>
      </c>
      <c r="N939" t="s">
        <v>51</v>
      </c>
      <c r="O939" s="2">
        <f>_Salesdata[[#This Row],[Unit_Price]] * _Salesdata[[#This Row],[Quantity_Sold]]</f>
        <v>178469.5</v>
      </c>
      <c r="P939" s="2">
        <f>_Salesdata[[#This Row],[Unit_Cost]] * _Salesdata[[#This Row],[Quantity_Sold]]</f>
        <v>172362.28</v>
      </c>
      <c r="Q939" s="2">
        <f>_Salesdata[[#This Row],[Gross_Sales]] - _Salesdata[[#This Row],[Total Cost]]</f>
        <v>6107.2200000000012</v>
      </c>
      <c r="R939" s="2"/>
    </row>
    <row r="940" spans="1:18" x14ac:dyDescent="0.25">
      <c r="A940">
        <v>1018</v>
      </c>
      <c r="B940" s="1">
        <v>44955</v>
      </c>
      <c r="C940" t="s">
        <v>30</v>
      </c>
      <c r="D940" t="s">
        <v>25</v>
      </c>
      <c r="E940" s="2">
        <v>6008.83</v>
      </c>
      <c r="F940">
        <v>25</v>
      </c>
      <c r="G940" t="s">
        <v>31</v>
      </c>
      <c r="H940" s="2">
        <v>4660.82</v>
      </c>
      <c r="I940" s="2">
        <v>5011.4299999999903</v>
      </c>
      <c r="J940" t="s">
        <v>27</v>
      </c>
      <c r="K940">
        <v>7.0000000000000007E-2</v>
      </c>
      <c r="L940" t="s">
        <v>44</v>
      </c>
      <c r="M940" t="s">
        <v>22</v>
      </c>
      <c r="N940" t="s">
        <v>45</v>
      </c>
      <c r="O940" s="2">
        <f>_Salesdata[[#This Row],[Unit_Price]] * _Salesdata[[#This Row],[Quantity_Sold]]</f>
        <v>125285.74999999975</v>
      </c>
      <c r="P940" s="2">
        <f>_Salesdata[[#This Row],[Unit_Cost]] * _Salesdata[[#This Row],[Quantity_Sold]]</f>
        <v>116520.5</v>
      </c>
      <c r="Q940" s="2">
        <f>_Salesdata[[#This Row],[Gross_Sales]] - _Salesdata[[#This Row],[Total Cost]]</f>
        <v>8765.2499999997526</v>
      </c>
      <c r="R940" s="2"/>
    </row>
    <row r="941" spans="1:18" x14ac:dyDescent="0.25">
      <c r="A941">
        <v>1090</v>
      </c>
      <c r="B941" s="1">
        <v>45291</v>
      </c>
      <c r="C941" t="s">
        <v>48</v>
      </c>
      <c r="D941" t="s">
        <v>25</v>
      </c>
      <c r="E941" s="2">
        <v>3333.73</v>
      </c>
      <c r="F941">
        <v>46</v>
      </c>
      <c r="G941" t="s">
        <v>19</v>
      </c>
      <c r="H941" s="2">
        <v>4665.12</v>
      </c>
      <c r="I941" s="2">
        <v>4675.8999999999996</v>
      </c>
      <c r="J941" t="s">
        <v>27</v>
      </c>
      <c r="K941">
        <v>0.19</v>
      </c>
      <c r="L941" t="s">
        <v>21</v>
      </c>
      <c r="M941" t="s">
        <v>32</v>
      </c>
      <c r="N941" t="s">
        <v>49</v>
      </c>
      <c r="O941" s="2">
        <f>_Salesdata[[#This Row],[Unit_Price]] * _Salesdata[[#This Row],[Quantity_Sold]]</f>
        <v>215091.4</v>
      </c>
      <c r="P941" s="2">
        <f>_Salesdata[[#This Row],[Unit_Cost]] * _Salesdata[[#This Row],[Quantity_Sold]]</f>
        <v>214595.52</v>
      </c>
      <c r="Q941" s="2">
        <f>_Salesdata[[#This Row],[Gross_Sales]] - _Salesdata[[#This Row],[Total Cost]]</f>
        <v>495.88000000000466</v>
      </c>
      <c r="R941" s="2"/>
    </row>
    <row r="942" spans="1:18" x14ac:dyDescent="0.25">
      <c r="A942">
        <v>1054</v>
      </c>
      <c r="B942" s="1">
        <v>45087</v>
      </c>
      <c r="C942" t="s">
        <v>17</v>
      </c>
      <c r="D942" t="s">
        <v>40</v>
      </c>
      <c r="E942" s="2">
        <v>7853.66</v>
      </c>
      <c r="F942">
        <v>21</v>
      </c>
      <c r="G942" t="s">
        <v>39</v>
      </c>
      <c r="H942" s="2">
        <v>4668.1400000000003</v>
      </c>
      <c r="I942" s="2">
        <v>5040.22</v>
      </c>
      <c r="J942" t="s">
        <v>27</v>
      </c>
      <c r="K942">
        <v>0.05</v>
      </c>
      <c r="L942" t="s">
        <v>44</v>
      </c>
      <c r="M942" t="s">
        <v>22</v>
      </c>
      <c r="N942" t="s">
        <v>42</v>
      </c>
      <c r="O942" s="2">
        <f>_Salesdata[[#This Row],[Unit_Price]] * _Salesdata[[#This Row],[Quantity_Sold]]</f>
        <v>105844.62000000001</v>
      </c>
      <c r="P942" s="2">
        <f>_Salesdata[[#This Row],[Unit_Cost]] * _Salesdata[[#This Row],[Quantity_Sold]]</f>
        <v>98030.94</v>
      </c>
      <c r="Q942" s="2">
        <f>_Salesdata[[#This Row],[Gross_Sales]] - _Salesdata[[#This Row],[Total Cost]]</f>
        <v>7813.6800000000076</v>
      </c>
      <c r="R942" s="2"/>
    </row>
    <row r="943" spans="1:18" x14ac:dyDescent="0.25">
      <c r="A943">
        <v>1032</v>
      </c>
      <c r="B943" s="1">
        <v>45163</v>
      </c>
      <c r="C943" t="s">
        <v>17</v>
      </c>
      <c r="D943" t="s">
        <v>37</v>
      </c>
      <c r="E943" s="2">
        <v>8841.64</v>
      </c>
      <c r="F943">
        <v>23</v>
      </c>
      <c r="G943" t="s">
        <v>26</v>
      </c>
      <c r="H943" s="2">
        <v>4673.1899999999996</v>
      </c>
      <c r="I943" s="2">
        <v>4761.1799999999903</v>
      </c>
      <c r="J943" t="s">
        <v>20</v>
      </c>
      <c r="K943">
        <v>0.17</v>
      </c>
      <c r="L943" t="s">
        <v>28</v>
      </c>
      <c r="M943" t="s">
        <v>32</v>
      </c>
      <c r="N943" t="s">
        <v>47</v>
      </c>
      <c r="O943" s="2">
        <f>_Salesdata[[#This Row],[Unit_Price]] * _Salesdata[[#This Row],[Quantity_Sold]]</f>
        <v>109507.13999999978</v>
      </c>
      <c r="P943" s="2">
        <f>_Salesdata[[#This Row],[Unit_Cost]] * _Salesdata[[#This Row],[Quantity_Sold]]</f>
        <v>107483.37</v>
      </c>
      <c r="Q943" s="2">
        <f>_Salesdata[[#This Row],[Gross_Sales]] - _Salesdata[[#This Row],[Total Cost]]</f>
        <v>2023.7699999997858</v>
      </c>
      <c r="R943" s="2"/>
    </row>
    <row r="944" spans="1:18" x14ac:dyDescent="0.25">
      <c r="A944">
        <v>1015</v>
      </c>
      <c r="B944" s="1">
        <v>45133</v>
      </c>
      <c r="C944" t="s">
        <v>30</v>
      </c>
      <c r="D944" t="s">
        <v>37</v>
      </c>
      <c r="E944" s="2">
        <v>2706.15</v>
      </c>
      <c r="F944">
        <v>9</v>
      </c>
      <c r="G944" t="s">
        <v>26</v>
      </c>
      <c r="H944" s="2">
        <v>4680.3500000000004</v>
      </c>
      <c r="I944" s="2">
        <v>4758.1099999999997</v>
      </c>
      <c r="J944" t="s">
        <v>20</v>
      </c>
      <c r="K944">
        <v>0.05</v>
      </c>
      <c r="L944" t="s">
        <v>44</v>
      </c>
      <c r="M944" t="s">
        <v>22</v>
      </c>
      <c r="N944" t="s">
        <v>51</v>
      </c>
      <c r="O944" s="2">
        <f>_Salesdata[[#This Row],[Unit_Price]] * _Salesdata[[#This Row],[Quantity_Sold]]</f>
        <v>42822.99</v>
      </c>
      <c r="P944" s="2">
        <f>_Salesdata[[#This Row],[Unit_Cost]] * _Salesdata[[#This Row],[Quantity_Sold]]</f>
        <v>42123.15</v>
      </c>
      <c r="Q944" s="2">
        <f>_Salesdata[[#This Row],[Gross_Sales]] - _Salesdata[[#This Row],[Total Cost]]</f>
        <v>699.83999999999651</v>
      </c>
      <c r="R944" s="2"/>
    </row>
    <row r="945" spans="1:18" x14ac:dyDescent="0.25">
      <c r="A945">
        <v>1069</v>
      </c>
      <c r="B945" s="1">
        <v>45280</v>
      </c>
      <c r="C945" t="s">
        <v>48</v>
      </c>
      <c r="D945" t="s">
        <v>37</v>
      </c>
      <c r="E945" s="2">
        <v>5429.49</v>
      </c>
      <c r="F945">
        <v>12</v>
      </c>
      <c r="G945" t="s">
        <v>39</v>
      </c>
      <c r="H945" s="2">
        <v>4682.34</v>
      </c>
      <c r="I945" s="2">
        <v>5036.3999999999996</v>
      </c>
      <c r="J945" t="s">
        <v>27</v>
      </c>
      <c r="K945">
        <v>0.2</v>
      </c>
      <c r="L945" t="s">
        <v>44</v>
      </c>
      <c r="M945" t="s">
        <v>32</v>
      </c>
      <c r="N945" t="s">
        <v>52</v>
      </c>
      <c r="O945" s="2">
        <f>_Salesdata[[#This Row],[Unit_Price]] * _Salesdata[[#This Row],[Quantity_Sold]]</f>
        <v>60436.799999999996</v>
      </c>
      <c r="P945" s="2">
        <f>_Salesdata[[#This Row],[Unit_Cost]] * _Salesdata[[#This Row],[Quantity_Sold]]</f>
        <v>56188.08</v>
      </c>
      <c r="Q945" s="2">
        <f>_Salesdata[[#This Row],[Gross_Sales]] - _Salesdata[[#This Row],[Total Cost]]</f>
        <v>4248.7199999999939</v>
      </c>
      <c r="R945" s="2"/>
    </row>
    <row r="946" spans="1:18" x14ac:dyDescent="0.25">
      <c r="A946">
        <v>1097</v>
      </c>
      <c r="B946" s="1">
        <v>45225</v>
      </c>
      <c r="C946" t="s">
        <v>24</v>
      </c>
      <c r="D946" t="s">
        <v>18</v>
      </c>
      <c r="E946" s="2">
        <v>7633.98</v>
      </c>
      <c r="F946">
        <v>27</v>
      </c>
      <c r="G946" t="s">
        <v>26</v>
      </c>
      <c r="H946" s="2">
        <v>4686.79</v>
      </c>
      <c r="I946" s="2">
        <v>5046.51</v>
      </c>
      <c r="J946" t="s">
        <v>20</v>
      </c>
      <c r="K946">
        <v>0.05</v>
      </c>
      <c r="L946" t="s">
        <v>28</v>
      </c>
      <c r="M946" t="s">
        <v>32</v>
      </c>
      <c r="N946" t="s">
        <v>46</v>
      </c>
      <c r="O946" s="2">
        <f>_Salesdata[[#This Row],[Unit_Price]] * _Salesdata[[#This Row],[Quantity_Sold]]</f>
        <v>136255.77000000002</v>
      </c>
      <c r="P946" s="2">
        <f>_Salesdata[[#This Row],[Unit_Cost]] * _Salesdata[[#This Row],[Quantity_Sold]]</f>
        <v>126543.33</v>
      </c>
      <c r="Q946" s="2">
        <f>_Salesdata[[#This Row],[Gross_Sales]] - _Salesdata[[#This Row],[Total Cost]]</f>
        <v>9712.4400000000169</v>
      </c>
      <c r="R946" s="2"/>
    </row>
    <row r="947" spans="1:18" x14ac:dyDescent="0.25">
      <c r="A947">
        <v>1024</v>
      </c>
      <c r="B947" s="1">
        <v>45254</v>
      </c>
      <c r="C947" t="s">
        <v>24</v>
      </c>
      <c r="D947" t="s">
        <v>40</v>
      </c>
      <c r="E947" s="2">
        <v>3633.17</v>
      </c>
      <c r="F947">
        <v>22</v>
      </c>
      <c r="G947" t="s">
        <v>31</v>
      </c>
      <c r="H947" s="2">
        <v>4691.32</v>
      </c>
      <c r="I947" s="2">
        <v>4752.88</v>
      </c>
      <c r="J947" t="s">
        <v>20</v>
      </c>
      <c r="K947">
        <v>7.0000000000000007E-2</v>
      </c>
      <c r="L947" t="s">
        <v>44</v>
      </c>
      <c r="M947" t="s">
        <v>32</v>
      </c>
      <c r="N947" t="s">
        <v>55</v>
      </c>
      <c r="O947" s="2">
        <f>_Salesdata[[#This Row],[Unit_Price]] * _Salesdata[[#This Row],[Quantity_Sold]]</f>
        <v>104563.36</v>
      </c>
      <c r="P947" s="2">
        <f>_Salesdata[[#This Row],[Unit_Cost]] * _Salesdata[[#This Row],[Quantity_Sold]]</f>
        <v>103209.04</v>
      </c>
      <c r="Q947" s="2">
        <f>_Salesdata[[#This Row],[Gross_Sales]] - _Salesdata[[#This Row],[Total Cost]]</f>
        <v>1354.320000000007</v>
      </c>
      <c r="R947" s="2"/>
    </row>
    <row r="948" spans="1:18" x14ac:dyDescent="0.25">
      <c r="A948">
        <v>1005</v>
      </c>
      <c r="B948" s="1">
        <v>45018</v>
      </c>
      <c r="C948" t="s">
        <v>30</v>
      </c>
      <c r="D948" t="s">
        <v>40</v>
      </c>
      <c r="E948" s="2">
        <v>1646.45</v>
      </c>
      <c r="F948">
        <v>46</v>
      </c>
      <c r="G948" t="s">
        <v>39</v>
      </c>
      <c r="H948" s="2">
        <v>4691.42</v>
      </c>
      <c r="I948" s="2">
        <v>5026.1899999999996</v>
      </c>
      <c r="J948" t="s">
        <v>20</v>
      </c>
      <c r="K948">
        <v>0.22</v>
      </c>
      <c r="L948" t="s">
        <v>44</v>
      </c>
      <c r="M948" t="s">
        <v>32</v>
      </c>
      <c r="N948" t="s">
        <v>41</v>
      </c>
      <c r="O948" s="2">
        <f>_Salesdata[[#This Row],[Unit_Price]] * _Salesdata[[#This Row],[Quantity_Sold]]</f>
        <v>231204.74</v>
      </c>
      <c r="P948" s="2">
        <f>_Salesdata[[#This Row],[Unit_Cost]] * _Salesdata[[#This Row],[Quantity_Sold]]</f>
        <v>215805.32</v>
      </c>
      <c r="Q948" s="2">
        <f>_Salesdata[[#This Row],[Gross_Sales]] - _Salesdata[[#This Row],[Total Cost]]</f>
        <v>15399.419999999984</v>
      </c>
      <c r="R948" s="2"/>
    </row>
    <row r="949" spans="1:18" x14ac:dyDescent="0.25">
      <c r="A949">
        <v>1023</v>
      </c>
      <c r="B949" s="1">
        <v>45141</v>
      </c>
      <c r="C949" t="s">
        <v>30</v>
      </c>
      <c r="D949" t="s">
        <v>25</v>
      </c>
      <c r="E949" s="2">
        <v>8055.02</v>
      </c>
      <c r="F949">
        <v>45</v>
      </c>
      <c r="G949" t="s">
        <v>31</v>
      </c>
      <c r="H949" s="2">
        <v>4692.24</v>
      </c>
      <c r="I949" s="2">
        <v>4825.92</v>
      </c>
      <c r="J949" t="s">
        <v>20</v>
      </c>
      <c r="K949">
        <v>0.19</v>
      </c>
      <c r="L949" t="s">
        <v>44</v>
      </c>
      <c r="M949" t="s">
        <v>32</v>
      </c>
      <c r="N949" t="s">
        <v>45</v>
      </c>
      <c r="O949" s="2">
        <f>_Salesdata[[#This Row],[Unit_Price]] * _Salesdata[[#This Row],[Quantity_Sold]]</f>
        <v>217166.4</v>
      </c>
      <c r="P949" s="2">
        <f>_Salesdata[[#This Row],[Unit_Cost]] * _Salesdata[[#This Row],[Quantity_Sold]]</f>
        <v>211150.8</v>
      </c>
      <c r="Q949" s="2">
        <f>_Salesdata[[#This Row],[Gross_Sales]] - _Salesdata[[#This Row],[Total Cost]]</f>
        <v>6015.6000000000058</v>
      </c>
      <c r="R949" s="2"/>
    </row>
    <row r="950" spans="1:18" x14ac:dyDescent="0.25">
      <c r="A950">
        <v>1030</v>
      </c>
      <c r="B950" s="1">
        <v>45056</v>
      </c>
      <c r="C950" t="s">
        <v>17</v>
      </c>
      <c r="D950" t="s">
        <v>40</v>
      </c>
      <c r="E950" s="2">
        <v>1273.18</v>
      </c>
      <c r="F950">
        <v>43</v>
      </c>
      <c r="G950" t="s">
        <v>19</v>
      </c>
      <c r="H950" s="2">
        <v>4696.6400000000003</v>
      </c>
      <c r="I950" s="2">
        <v>4713.68</v>
      </c>
      <c r="J950" t="s">
        <v>20</v>
      </c>
      <c r="K950">
        <v>0.24</v>
      </c>
      <c r="L950" t="s">
        <v>44</v>
      </c>
      <c r="M950" t="s">
        <v>22</v>
      </c>
      <c r="N950" t="s">
        <v>42</v>
      </c>
      <c r="O950" s="2">
        <f>_Salesdata[[#This Row],[Unit_Price]] * _Salesdata[[#This Row],[Quantity_Sold]]</f>
        <v>202688.24000000002</v>
      </c>
      <c r="P950" s="2">
        <f>_Salesdata[[#This Row],[Unit_Cost]] * _Salesdata[[#This Row],[Quantity_Sold]]</f>
        <v>201955.52000000002</v>
      </c>
      <c r="Q950" s="2">
        <f>_Salesdata[[#This Row],[Gross_Sales]] - _Salesdata[[#This Row],[Total Cost]]</f>
        <v>732.72000000000116</v>
      </c>
      <c r="R950" s="2"/>
    </row>
    <row r="951" spans="1:18" x14ac:dyDescent="0.25">
      <c r="A951">
        <v>1049</v>
      </c>
      <c r="B951" s="1">
        <v>45218</v>
      </c>
      <c r="C951" t="s">
        <v>48</v>
      </c>
      <c r="D951" t="s">
        <v>40</v>
      </c>
      <c r="E951" s="2">
        <v>1966.55</v>
      </c>
      <c r="F951">
        <v>30</v>
      </c>
      <c r="G951" t="s">
        <v>19</v>
      </c>
      <c r="H951" s="2">
        <v>4697.4399999999996</v>
      </c>
      <c r="I951" s="2">
        <v>4752.24</v>
      </c>
      <c r="J951" t="s">
        <v>27</v>
      </c>
      <c r="K951">
        <v>0.28000000000000003</v>
      </c>
      <c r="L951" t="s">
        <v>28</v>
      </c>
      <c r="M951" t="s">
        <v>22</v>
      </c>
      <c r="N951" t="s">
        <v>50</v>
      </c>
      <c r="O951" s="2">
        <f>_Salesdata[[#This Row],[Unit_Price]] * _Salesdata[[#This Row],[Quantity_Sold]]</f>
        <v>142567.19999999998</v>
      </c>
      <c r="P951" s="2">
        <f>_Salesdata[[#This Row],[Unit_Cost]] * _Salesdata[[#This Row],[Quantity_Sold]]</f>
        <v>140923.19999999998</v>
      </c>
      <c r="Q951" s="2">
        <f>_Salesdata[[#This Row],[Gross_Sales]] - _Salesdata[[#This Row],[Total Cost]]</f>
        <v>1644</v>
      </c>
      <c r="R951" s="2"/>
    </row>
    <row r="952" spans="1:18" x14ac:dyDescent="0.25">
      <c r="A952">
        <v>1014</v>
      </c>
      <c r="B952" s="1">
        <v>45109</v>
      </c>
      <c r="C952" t="s">
        <v>30</v>
      </c>
      <c r="D952" t="s">
        <v>18</v>
      </c>
      <c r="E952" s="2">
        <v>9278.5300000000007</v>
      </c>
      <c r="F952">
        <v>7</v>
      </c>
      <c r="G952" t="s">
        <v>19</v>
      </c>
      <c r="H952" s="2">
        <v>4705.46</v>
      </c>
      <c r="I952" s="2">
        <v>4747.07</v>
      </c>
      <c r="J952" t="s">
        <v>27</v>
      </c>
      <c r="K952">
        <v>0.27</v>
      </c>
      <c r="L952" t="s">
        <v>44</v>
      </c>
      <c r="M952" t="s">
        <v>32</v>
      </c>
      <c r="N952" t="s">
        <v>33</v>
      </c>
      <c r="O952" s="2">
        <f>_Salesdata[[#This Row],[Unit_Price]] * _Salesdata[[#This Row],[Quantity_Sold]]</f>
        <v>33229.49</v>
      </c>
      <c r="P952" s="2">
        <f>_Salesdata[[#This Row],[Unit_Cost]] * _Salesdata[[#This Row],[Quantity_Sold]]</f>
        <v>32938.22</v>
      </c>
      <c r="Q952" s="2">
        <f>_Salesdata[[#This Row],[Gross_Sales]] - _Salesdata[[#This Row],[Total Cost]]</f>
        <v>291.2699999999968</v>
      </c>
      <c r="R952" s="2"/>
    </row>
    <row r="953" spans="1:18" x14ac:dyDescent="0.25">
      <c r="A953">
        <v>1032</v>
      </c>
      <c r="B953" s="1">
        <v>45149</v>
      </c>
      <c r="C953" t="s">
        <v>30</v>
      </c>
      <c r="D953" t="s">
        <v>18</v>
      </c>
      <c r="E953" s="2">
        <v>3147.18</v>
      </c>
      <c r="F953">
        <v>5</v>
      </c>
      <c r="G953" t="s">
        <v>31</v>
      </c>
      <c r="H953" s="2">
        <v>4714.74</v>
      </c>
      <c r="I953" s="2">
        <v>5129.1099999999997</v>
      </c>
      <c r="J953" t="s">
        <v>27</v>
      </c>
      <c r="K953">
        <v>0.25</v>
      </c>
      <c r="L953" t="s">
        <v>44</v>
      </c>
      <c r="M953" t="s">
        <v>22</v>
      </c>
      <c r="N953" t="s">
        <v>33</v>
      </c>
      <c r="O953" s="2">
        <f>_Salesdata[[#This Row],[Unit_Price]] * _Salesdata[[#This Row],[Quantity_Sold]]</f>
        <v>25645.55</v>
      </c>
      <c r="P953" s="2">
        <f>_Salesdata[[#This Row],[Unit_Cost]] * _Salesdata[[#This Row],[Quantity_Sold]]</f>
        <v>23573.699999999997</v>
      </c>
      <c r="Q953" s="2">
        <f>_Salesdata[[#This Row],[Gross_Sales]] - _Salesdata[[#This Row],[Total Cost]]</f>
        <v>2071.8500000000022</v>
      </c>
      <c r="R953" s="2"/>
    </row>
    <row r="954" spans="1:18" x14ac:dyDescent="0.25">
      <c r="A954">
        <v>1037</v>
      </c>
      <c r="B954" s="1">
        <v>45084</v>
      </c>
      <c r="C954" t="s">
        <v>24</v>
      </c>
      <c r="D954" t="s">
        <v>40</v>
      </c>
      <c r="E954" s="2">
        <v>6055.38</v>
      </c>
      <c r="F954">
        <v>4</v>
      </c>
      <c r="G954" t="s">
        <v>31</v>
      </c>
      <c r="H954" s="2">
        <v>4721.7</v>
      </c>
      <c r="I954" s="2">
        <v>5017.58</v>
      </c>
      <c r="J954" t="s">
        <v>27</v>
      </c>
      <c r="K954">
        <v>0.24</v>
      </c>
      <c r="L954" t="s">
        <v>21</v>
      </c>
      <c r="M954" t="s">
        <v>32</v>
      </c>
      <c r="N954" t="s">
        <v>55</v>
      </c>
      <c r="O954" s="2">
        <f>_Salesdata[[#This Row],[Unit_Price]] * _Salesdata[[#This Row],[Quantity_Sold]]</f>
        <v>20070.32</v>
      </c>
      <c r="P954" s="2">
        <f>_Salesdata[[#This Row],[Unit_Cost]] * _Salesdata[[#This Row],[Quantity_Sold]]</f>
        <v>18886.8</v>
      </c>
      <c r="Q954" s="2">
        <f>_Salesdata[[#This Row],[Gross_Sales]] - _Salesdata[[#This Row],[Total Cost]]</f>
        <v>1183.5200000000004</v>
      </c>
      <c r="R954" s="2"/>
    </row>
    <row r="955" spans="1:18" x14ac:dyDescent="0.25">
      <c r="A955">
        <v>1048</v>
      </c>
      <c r="B955" s="1">
        <v>44962</v>
      </c>
      <c r="C955" t="s">
        <v>30</v>
      </c>
      <c r="D955" t="s">
        <v>37</v>
      </c>
      <c r="E955" s="2">
        <v>9070.26</v>
      </c>
      <c r="F955">
        <v>42</v>
      </c>
      <c r="G955" t="s">
        <v>26</v>
      </c>
      <c r="H955" s="2">
        <v>4723.83</v>
      </c>
      <c r="I955" s="2">
        <v>5186.1899999999996</v>
      </c>
      <c r="J955" t="s">
        <v>20</v>
      </c>
      <c r="K955">
        <v>0.22</v>
      </c>
      <c r="L955" t="s">
        <v>28</v>
      </c>
      <c r="M955" t="s">
        <v>22</v>
      </c>
      <c r="N955" t="s">
        <v>51</v>
      </c>
      <c r="O955" s="2">
        <f>_Salesdata[[#This Row],[Unit_Price]] * _Salesdata[[#This Row],[Quantity_Sold]]</f>
        <v>217819.97999999998</v>
      </c>
      <c r="P955" s="2">
        <f>_Salesdata[[#This Row],[Unit_Cost]] * _Salesdata[[#This Row],[Quantity_Sold]]</f>
        <v>198400.86</v>
      </c>
      <c r="Q955" s="2">
        <f>_Salesdata[[#This Row],[Gross_Sales]] - _Salesdata[[#This Row],[Total Cost]]</f>
        <v>19419.119999999995</v>
      </c>
      <c r="R955" s="2"/>
    </row>
    <row r="956" spans="1:18" x14ac:dyDescent="0.25">
      <c r="A956">
        <v>1047</v>
      </c>
      <c r="B956" s="1">
        <v>45142</v>
      </c>
      <c r="C956" t="s">
        <v>48</v>
      </c>
      <c r="D956" t="s">
        <v>40</v>
      </c>
      <c r="E956" s="2">
        <v>733.66</v>
      </c>
      <c r="F956">
        <v>47</v>
      </c>
      <c r="G956" t="s">
        <v>19</v>
      </c>
      <c r="H956" s="2">
        <v>4729.59</v>
      </c>
      <c r="I956" s="2">
        <v>4976.68</v>
      </c>
      <c r="J956" t="s">
        <v>20</v>
      </c>
      <c r="K956">
        <v>0.18</v>
      </c>
      <c r="L956" t="s">
        <v>28</v>
      </c>
      <c r="M956" t="s">
        <v>32</v>
      </c>
      <c r="N956" t="s">
        <v>50</v>
      </c>
      <c r="O956" s="2">
        <f>_Salesdata[[#This Row],[Unit_Price]] * _Salesdata[[#This Row],[Quantity_Sold]]</f>
        <v>233903.96000000002</v>
      </c>
      <c r="P956" s="2">
        <f>_Salesdata[[#This Row],[Unit_Cost]] * _Salesdata[[#This Row],[Quantity_Sold]]</f>
        <v>222290.73</v>
      </c>
      <c r="Q956" s="2">
        <f>_Salesdata[[#This Row],[Gross_Sales]] - _Salesdata[[#This Row],[Total Cost]]</f>
        <v>11613.23000000001</v>
      </c>
      <c r="R956" s="2"/>
    </row>
    <row r="957" spans="1:18" x14ac:dyDescent="0.25">
      <c r="A957">
        <v>1005</v>
      </c>
      <c r="B957" s="1">
        <v>45177</v>
      </c>
      <c r="C957" t="s">
        <v>48</v>
      </c>
      <c r="D957" t="s">
        <v>37</v>
      </c>
      <c r="E957" s="2">
        <v>7103.23</v>
      </c>
      <c r="F957">
        <v>9</v>
      </c>
      <c r="G957" t="s">
        <v>26</v>
      </c>
      <c r="H957" s="2">
        <v>4737.0600000000004</v>
      </c>
      <c r="I957" s="2">
        <v>4869.5</v>
      </c>
      <c r="J957" t="s">
        <v>27</v>
      </c>
      <c r="K957">
        <v>7.0000000000000007E-2</v>
      </c>
      <c r="L957" t="s">
        <v>21</v>
      </c>
      <c r="M957" t="s">
        <v>22</v>
      </c>
      <c r="N957" t="s">
        <v>52</v>
      </c>
      <c r="O957" s="2">
        <f>_Salesdata[[#This Row],[Unit_Price]] * _Salesdata[[#This Row],[Quantity_Sold]]</f>
        <v>43825.5</v>
      </c>
      <c r="P957" s="2">
        <f>_Salesdata[[#This Row],[Unit_Cost]] * _Salesdata[[#This Row],[Quantity_Sold]]</f>
        <v>42633.54</v>
      </c>
      <c r="Q957" s="2">
        <f>_Salesdata[[#This Row],[Gross_Sales]] - _Salesdata[[#This Row],[Total Cost]]</f>
        <v>1191.9599999999991</v>
      </c>
      <c r="R957" s="2"/>
    </row>
    <row r="958" spans="1:18" x14ac:dyDescent="0.25">
      <c r="A958">
        <v>1008</v>
      </c>
      <c r="B958" s="1">
        <v>45029</v>
      </c>
      <c r="C958" t="s">
        <v>35</v>
      </c>
      <c r="D958" t="s">
        <v>40</v>
      </c>
      <c r="E958" s="2">
        <v>5104.54</v>
      </c>
      <c r="F958">
        <v>24</v>
      </c>
      <c r="G958" t="s">
        <v>39</v>
      </c>
      <c r="H958" s="2">
        <v>4739.13</v>
      </c>
      <c r="I958" s="2">
        <v>4868.95</v>
      </c>
      <c r="J958" t="s">
        <v>27</v>
      </c>
      <c r="K958">
        <v>0.14000000000000001</v>
      </c>
      <c r="L958" t="s">
        <v>28</v>
      </c>
      <c r="M958" t="s">
        <v>32</v>
      </c>
      <c r="N958" t="s">
        <v>43</v>
      </c>
      <c r="O958" s="2">
        <f>_Salesdata[[#This Row],[Unit_Price]] * _Salesdata[[#This Row],[Quantity_Sold]]</f>
        <v>116854.79999999999</v>
      </c>
      <c r="P958" s="2">
        <f>_Salesdata[[#This Row],[Unit_Cost]] * _Salesdata[[#This Row],[Quantity_Sold]]</f>
        <v>113739.12</v>
      </c>
      <c r="Q958" s="2">
        <f>_Salesdata[[#This Row],[Gross_Sales]] - _Salesdata[[#This Row],[Total Cost]]</f>
        <v>3115.679999999993</v>
      </c>
      <c r="R958" s="2"/>
    </row>
    <row r="959" spans="1:18" x14ac:dyDescent="0.25">
      <c r="A959">
        <v>1032</v>
      </c>
      <c r="B959" s="1">
        <v>44998</v>
      </c>
      <c r="C959" t="s">
        <v>24</v>
      </c>
      <c r="D959" t="s">
        <v>37</v>
      </c>
      <c r="E959" s="2">
        <v>5768.81</v>
      </c>
      <c r="F959">
        <v>20</v>
      </c>
      <c r="G959" t="s">
        <v>26</v>
      </c>
      <c r="H959" s="2">
        <v>4741.59</v>
      </c>
      <c r="I959" s="2">
        <v>4975.2299999999996</v>
      </c>
      <c r="J959" t="s">
        <v>27</v>
      </c>
      <c r="K959">
        <v>0.09</v>
      </c>
      <c r="L959" t="s">
        <v>28</v>
      </c>
      <c r="M959" t="s">
        <v>22</v>
      </c>
      <c r="N959" t="s">
        <v>53</v>
      </c>
      <c r="O959" s="2">
        <f>_Salesdata[[#This Row],[Unit_Price]] * _Salesdata[[#This Row],[Quantity_Sold]]</f>
        <v>99504.599999999991</v>
      </c>
      <c r="P959" s="2">
        <f>_Salesdata[[#This Row],[Unit_Cost]] * _Salesdata[[#This Row],[Quantity_Sold]]</f>
        <v>94831.8</v>
      </c>
      <c r="Q959" s="2">
        <f>_Salesdata[[#This Row],[Gross_Sales]] - _Salesdata[[#This Row],[Total Cost]]</f>
        <v>4672.7999999999884</v>
      </c>
      <c r="R959" s="2"/>
    </row>
    <row r="960" spans="1:18" x14ac:dyDescent="0.25">
      <c r="A960">
        <v>1019</v>
      </c>
      <c r="B960" s="1">
        <v>45125</v>
      </c>
      <c r="C960" t="s">
        <v>24</v>
      </c>
      <c r="D960" t="s">
        <v>37</v>
      </c>
      <c r="E960" s="2">
        <v>7948.31</v>
      </c>
      <c r="F960">
        <v>12</v>
      </c>
      <c r="G960" t="s">
        <v>19</v>
      </c>
      <c r="H960" s="2">
        <v>4745.18</v>
      </c>
      <c r="I960" s="2">
        <v>5145.88</v>
      </c>
      <c r="J960" t="s">
        <v>20</v>
      </c>
      <c r="K960">
        <v>0.19</v>
      </c>
      <c r="L960" t="s">
        <v>28</v>
      </c>
      <c r="M960" t="s">
        <v>22</v>
      </c>
      <c r="N960" t="s">
        <v>53</v>
      </c>
      <c r="O960" s="2">
        <f>_Salesdata[[#This Row],[Unit_Price]] * _Salesdata[[#This Row],[Quantity_Sold]]</f>
        <v>61750.559999999998</v>
      </c>
      <c r="P960" s="2">
        <f>_Salesdata[[#This Row],[Unit_Cost]] * _Salesdata[[#This Row],[Quantity_Sold]]</f>
        <v>56942.16</v>
      </c>
      <c r="Q960" s="2">
        <f>_Salesdata[[#This Row],[Gross_Sales]] - _Salesdata[[#This Row],[Total Cost]]</f>
        <v>4808.3999999999942</v>
      </c>
      <c r="R960" s="2"/>
    </row>
    <row r="961" spans="1:18" x14ac:dyDescent="0.25">
      <c r="A961">
        <v>1079</v>
      </c>
      <c r="B961" s="1">
        <v>45203</v>
      </c>
      <c r="C961" t="s">
        <v>48</v>
      </c>
      <c r="D961" t="s">
        <v>18</v>
      </c>
      <c r="E961" s="2">
        <v>942.52</v>
      </c>
      <c r="F961">
        <v>12</v>
      </c>
      <c r="G961" t="s">
        <v>31</v>
      </c>
      <c r="H961" s="2">
        <v>4754.0200000000004</v>
      </c>
      <c r="I961" s="2">
        <v>5080.74</v>
      </c>
      <c r="J961" t="s">
        <v>27</v>
      </c>
      <c r="K961">
        <v>0.2</v>
      </c>
      <c r="L961" t="s">
        <v>21</v>
      </c>
      <c r="M961" t="s">
        <v>22</v>
      </c>
      <c r="N961" t="s">
        <v>54</v>
      </c>
      <c r="O961" s="2">
        <f>_Salesdata[[#This Row],[Unit_Price]] * _Salesdata[[#This Row],[Quantity_Sold]]</f>
        <v>60968.88</v>
      </c>
      <c r="P961" s="2">
        <f>_Salesdata[[#This Row],[Unit_Cost]] * _Salesdata[[#This Row],[Quantity_Sold]]</f>
        <v>57048.240000000005</v>
      </c>
      <c r="Q961" s="2">
        <f>_Salesdata[[#This Row],[Gross_Sales]] - _Salesdata[[#This Row],[Total Cost]]</f>
        <v>3920.6399999999921</v>
      </c>
      <c r="R961" s="2"/>
    </row>
    <row r="962" spans="1:18" x14ac:dyDescent="0.25">
      <c r="A962">
        <v>1062</v>
      </c>
      <c r="B962" s="1">
        <v>44932</v>
      </c>
      <c r="C962" t="s">
        <v>48</v>
      </c>
      <c r="D962" t="s">
        <v>18</v>
      </c>
      <c r="E962" s="2">
        <v>3439.72</v>
      </c>
      <c r="F962">
        <v>15</v>
      </c>
      <c r="G962" t="s">
        <v>19</v>
      </c>
      <c r="H962" s="2">
        <v>4756.55</v>
      </c>
      <c r="I962" s="2">
        <v>4888.46</v>
      </c>
      <c r="J962" t="s">
        <v>27</v>
      </c>
      <c r="K962">
        <v>0.28999999999999998</v>
      </c>
      <c r="L962" t="s">
        <v>28</v>
      </c>
      <c r="M962" t="s">
        <v>22</v>
      </c>
      <c r="N962" t="s">
        <v>54</v>
      </c>
      <c r="O962" s="2">
        <f>_Salesdata[[#This Row],[Unit_Price]] * _Salesdata[[#This Row],[Quantity_Sold]]</f>
        <v>73326.899999999994</v>
      </c>
      <c r="P962" s="2">
        <f>_Salesdata[[#This Row],[Unit_Cost]] * _Salesdata[[#This Row],[Quantity_Sold]]</f>
        <v>71348.25</v>
      </c>
      <c r="Q962" s="2">
        <f>_Salesdata[[#This Row],[Gross_Sales]] - _Salesdata[[#This Row],[Total Cost]]</f>
        <v>1978.6499999999942</v>
      </c>
      <c r="R962" s="2"/>
    </row>
    <row r="963" spans="1:18" x14ac:dyDescent="0.25">
      <c r="A963">
        <v>1044</v>
      </c>
      <c r="B963" s="1">
        <v>44937</v>
      </c>
      <c r="C963" t="s">
        <v>48</v>
      </c>
      <c r="D963" t="s">
        <v>37</v>
      </c>
      <c r="E963" s="2">
        <v>3594.29</v>
      </c>
      <c r="F963">
        <v>5</v>
      </c>
      <c r="G963" t="s">
        <v>31</v>
      </c>
      <c r="H963" s="2">
        <v>4762.87</v>
      </c>
      <c r="I963" s="2">
        <v>5050.46</v>
      </c>
      <c r="J963" t="s">
        <v>27</v>
      </c>
      <c r="K963">
        <v>0.25</v>
      </c>
      <c r="L963" t="s">
        <v>21</v>
      </c>
      <c r="M963" t="s">
        <v>32</v>
      </c>
      <c r="N963" t="s">
        <v>52</v>
      </c>
      <c r="O963" s="2">
        <f>_Salesdata[[#This Row],[Unit_Price]] * _Salesdata[[#This Row],[Quantity_Sold]]</f>
        <v>25252.3</v>
      </c>
      <c r="P963" s="2">
        <f>_Salesdata[[#This Row],[Unit_Cost]] * _Salesdata[[#This Row],[Quantity_Sold]]</f>
        <v>23814.35</v>
      </c>
      <c r="Q963" s="2">
        <f>_Salesdata[[#This Row],[Gross_Sales]] - _Salesdata[[#This Row],[Total Cost]]</f>
        <v>1437.9500000000007</v>
      </c>
      <c r="R963" s="2"/>
    </row>
    <row r="964" spans="1:18" x14ac:dyDescent="0.25">
      <c r="A964">
        <v>1085</v>
      </c>
      <c r="B964" s="1">
        <v>45015</v>
      </c>
      <c r="C964" t="s">
        <v>30</v>
      </c>
      <c r="D964" t="s">
        <v>25</v>
      </c>
      <c r="E964" s="2">
        <v>9278.4</v>
      </c>
      <c r="F964">
        <v>45</v>
      </c>
      <c r="G964" t="s">
        <v>19</v>
      </c>
      <c r="H964" s="2">
        <v>4763.1099999999997</v>
      </c>
      <c r="I964" s="2">
        <v>5119.91</v>
      </c>
      <c r="J964" t="s">
        <v>20</v>
      </c>
      <c r="K964">
        <v>0.28999999999999998</v>
      </c>
      <c r="L964" t="s">
        <v>21</v>
      </c>
      <c r="M964" t="s">
        <v>32</v>
      </c>
      <c r="N964" t="s">
        <v>45</v>
      </c>
      <c r="O964" s="2">
        <f>_Salesdata[[#This Row],[Unit_Price]] * _Salesdata[[#This Row],[Quantity_Sold]]</f>
        <v>230395.94999999998</v>
      </c>
      <c r="P964" s="2">
        <f>_Salesdata[[#This Row],[Unit_Cost]] * _Salesdata[[#This Row],[Quantity_Sold]]</f>
        <v>214339.94999999998</v>
      </c>
      <c r="Q964" s="2">
        <f>_Salesdata[[#This Row],[Gross_Sales]] - _Salesdata[[#This Row],[Total Cost]]</f>
        <v>16056</v>
      </c>
      <c r="R964" s="2"/>
    </row>
    <row r="965" spans="1:18" x14ac:dyDescent="0.25">
      <c r="A965">
        <v>1064</v>
      </c>
      <c r="B965" s="1">
        <v>44930</v>
      </c>
      <c r="C965" t="s">
        <v>48</v>
      </c>
      <c r="D965" t="s">
        <v>18</v>
      </c>
      <c r="E965" s="2">
        <v>7412.11</v>
      </c>
      <c r="F965">
        <v>10</v>
      </c>
      <c r="G965" t="s">
        <v>26</v>
      </c>
      <c r="H965" s="2">
        <v>4764.96</v>
      </c>
      <c r="I965" s="2">
        <v>5074.42</v>
      </c>
      <c r="J965" t="s">
        <v>27</v>
      </c>
      <c r="K965">
        <v>0.12</v>
      </c>
      <c r="L965" t="s">
        <v>21</v>
      </c>
      <c r="M965" t="s">
        <v>22</v>
      </c>
      <c r="N965" t="s">
        <v>54</v>
      </c>
      <c r="O965" s="2">
        <f>_Salesdata[[#This Row],[Unit_Price]] * _Salesdata[[#This Row],[Quantity_Sold]]</f>
        <v>50744.2</v>
      </c>
      <c r="P965" s="2">
        <f>_Salesdata[[#This Row],[Unit_Cost]] * _Salesdata[[#This Row],[Quantity_Sold]]</f>
        <v>47649.599999999999</v>
      </c>
      <c r="Q965" s="2">
        <f>_Salesdata[[#This Row],[Gross_Sales]] - _Salesdata[[#This Row],[Total Cost]]</f>
        <v>3094.5999999999985</v>
      </c>
      <c r="R965" s="2"/>
    </row>
    <row r="966" spans="1:18" x14ac:dyDescent="0.25">
      <c r="A966">
        <v>1090</v>
      </c>
      <c r="B966" s="1">
        <v>45214</v>
      </c>
      <c r="C966" t="s">
        <v>35</v>
      </c>
      <c r="D966" t="s">
        <v>40</v>
      </c>
      <c r="E966" s="2">
        <v>9702.27</v>
      </c>
      <c r="F966">
        <v>48</v>
      </c>
      <c r="G966" t="s">
        <v>26</v>
      </c>
      <c r="H966" s="2">
        <v>4766.53</v>
      </c>
      <c r="I966" s="2">
        <v>5253.07</v>
      </c>
      <c r="J966" t="s">
        <v>20</v>
      </c>
      <c r="K966">
        <v>0.01</v>
      </c>
      <c r="L966" t="s">
        <v>44</v>
      </c>
      <c r="M966" t="s">
        <v>22</v>
      </c>
      <c r="N966" t="s">
        <v>43</v>
      </c>
      <c r="O966" s="2">
        <f>_Salesdata[[#This Row],[Unit_Price]] * _Salesdata[[#This Row],[Quantity_Sold]]</f>
        <v>252147.36</v>
      </c>
      <c r="P966" s="2">
        <f>_Salesdata[[#This Row],[Unit_Cost]] * _Salesdata[[#This Row],[Quantity_Sold]]</f>
        <v>228793.44</v>
      </c>
      <c r="Q966" s="2">
        <f>_Salesdata[[#This Row],[Gross_Sales]] - _Salesdata[[#This Row],[Total Cost]]</f>
        <v>23353.919999999984</v>
      </c>
      <c r="R966" s="2"/>
    </row>
    <row r="967" spans="1:18" x14ac:dyDescent="0.25">
      <c r="A967">
        <v>1052</v>
      </c>
      <c r="B967" s="1">
        <v>45021</v>
      </c>
      <c r="C967" t="s">
        <v>35</v>
      </c>
      <c r="D967" t="s">
        <v>40</v>
      </c>
      <c r="E967" s="2">
        <v>4744.16</v>
      </c>
      <c r="F967">
        <v>26</v>
      </c>
      <c r="G967" t="s">
        <v>19</v>
      </c>
      <c r="H967" s="2">
        <v>4771.99</v>
      </c>
      <c r="I967" s="2">
        <v>5079.6499999999996</v>
      </c>
      <c r="J967" t="s">
        <v>27</v>
      </c>
      <c r="K967">
        <v>0.28999999999999998</v>
      </c>
      <c r="L967" t="s">
        <v>28</v>
      </c>
      <c r="M967" t="s">
        <v>22</v>
      </c>
      <c r="N967" t="s">
        <v>43</v>
      </c>
      <c r="O967" s="2">
        <f>_Salesdata[[#This Row],[Unit_Price]] * _Salesdata[[#This Row],[Quantity_Sold]]</f>
        <v>132070.9</v>
      </c>
      <c r="P967" s="2">
        <f>_Salesdata[[#This Row],[Unit_Cost]] * _Salesdata[[#This Row],[Quantity_Sold]]</f>
        <v>124071.73999999999</v>
      </c>
      <c r="Q967" s="2">
        <f>_Salesdata[[#This Row],[Gross_Sales]] - _Salesdata[[#This Row],[Total Cost]]</f>
        <v>7999.1600000000035</v>
      </c>
      <c r="R967" s="2"/>
    </row>
    <row r="968" spans="1:18" x14ac:dyDescent="0.25">
      <c r="A968">
        <v>1020</v>
      </c>
      <c r="B968" s="1">
        <v>45043</v>
      </c>
      <c r="C968" t="s">
        <v>24</v>
      </c>
      <c r="D968" t="s">
        <v>40</v>
      </c>
      <c r="E968" s="2">
        <v>7095.64</v>
      </c>
      <c r="F968">
        <v>33</v>
      </c>
      <c r="G968" t="s">
        <v>39</v>
      </c>
      <c r="H968" s="2">
        <v>4772.03</v>
      </c>
      <c r="I968" s="2">
        <v>4805.17</v>
      </c>
      <c r="J968" t="s">
        <v>20</v>
      </c>
      <c r="K968">
        <v>0.28000000000000003</v>
      </c>
      <c r="L968" t="s">
        <v>44</v>
      </c>
      <c r="M968" t="s">
        <v>22</v>
      </c>
      <c r="N968" t="s">
        <v>55</v>
      </c>
      <c r="O968" s="2">
        <f>_Salesdata[[#This Row],[Unit_Price]] * _Salesdata[[#This Row],[Quantity_Sold]]</f>
        <v>158570.61000000002</v>
      </c>
      <c r="P968" s="2">
        <f>_Salesdata[[#This Row],[Unit_Cost]] * _Salesdata[[#This Row],[Quantity_Sold]]</f>
        <v>157476.99</v>
      </c>
      <c r="Q968" s="2">
        <f>_Salesdata[[#This Row],[Gross_Sales]] - _Salesdata[[#This Row],[Total Cost]]</f>
        <v>1093.6200000000244</v>
      </c>
      <c r="R968" s="2"/>
    </row>
    <row r="969" spans="1:18" x14ac:dyDescent="0.25">
      <c r="A969">
        <v>1023</v>
      </c>
      <c r="B969" s="1">
        <v>45172</v>
      </c>
      <c r="C969" t="s">
        <v>30</v>
      </c>
      <c r="D969" t="s">
        <v>40</v>
      </c>
      <c r="E969" s="2">
        <v>4285.01</v>
      </c>
      <c r="F969">
        <v>32</v>
      </c>
      <c r="G969" t="s">
        <v>26</v>
      </c>
      <c r="H969" s="2">
        <v>4775.04</v>
      </c>
      <c r="I969" s="2">
        <v>4785.66</v>
      </c>
      <c r="J969" t="s">
        <v>27</v>
      </c>
      <c r="K969">
        <v>0.03</v>
      </c>
      <c r="L969" t="s">
        <v>21</v>
      </c>
      <c r="M969" t="s">
        <v>22</v>
      </c>
      <c r="N969" t="s">
        <v>41</v>
      </c>
      <c r="O969" s="2">
        <f>_Salesdata[[#This Row],[Unit_Price]] * _Salesdata[[#This Row],[Quantity_Sold]]</f>
        <v>153141.12</v>
      </c>
      <c r="P969" s="2">
        <f>_Salesdata[[#This Row],[Unit_Cost]] * _Salesdata[[#This Row],[Quantity_Sold]]</f>
        <v>152801.28</v>
      </c>
      <c r="Q969" s="2">
        <f>_Salesdata[[#This Row],[Gross_Sales]] - _Salesdata[[#This Row],[Total Cost]]</f>
        <v>339.83999999999651</v>
      </c>
      <c r="R969" s="2"/>
    </row>
    <row r="970" spans="1:18" x14ac:dyDescent="0.25">
      <c r="A970">
        <v>1033</v>
      </c>
      <c r="B970" s="1">
        <v>45227</v>
      </c>
      <c r="C970" t="s">
        <v>30</v>
      </c>
      <c r="D970" t="s">
        <v>37</v>
      </c>
      <c r="E970" s="2">
        <v>1115.42</v>
      </c>
      <c r="F970">
        <v>43</v>
      </c>
      <c r="G970" t="s">
        <v>19</v>
      </c>
      <c r="H970" s="2">
        <v>4781.42</v>
      </c>
      <c r="I970" s="2">
        <v>4864.34</v>
      </c>
      <c r="J970" t="s">
        <v>20</v>
      </c>
      <c r="K970">
        <v>0.25</v>
      </c>
      <c r="L970" t="s">
        <v>44</v>
      </c>
      <c r="M970" t="s">
        <v>22</v>
      </c>
      <c r="N970" t="s">
        <v>51</v>
      </c>
      <c r="O970" s="2">
        <f>_Salesdata[[#This Row],[Unit_Price]] * _Salesdata[[#This Row],[Quantity_Sold]]</f>
        <v>209166.62</v>
      </c>
      <c r="P970" s="2">
        <f>_Salesdata[[#This Row],[Unit_Cost]] * _Salesdata[[#This Row],[Quantity_Sold]]</f>
        <v>205601.06</v>
      </c>
      <c r="Q970" s="2">
        <f>_Salesdata[[#This Row],[Gross_Sales]] - _Salesdata[[#This Row],[Total Cost]]</f>
        <v>3565.5599999999977</v>
      </c>
      <c r="R970" s="2"/>
    </row>
    <row r="971" spans="1:18" x14ac:dyDescent="0.25">
      <c r="A971">
        <v>1096</v>
      </c>
      <c r="B971" s="1">
        <v>44951</v>
      </c>
      <c r="C971" t="s">
        <v>35</v>
      </c>
      <c r="D971" t="s">
        <v>25</v>
      </c>
      <c r="E971" s="2">
        <v>6206.16</v>
      </c>
      <c r="F971">
        <v>27</v>
      </c>
      <c r="G971" t="s">
        <v>19</v>
      </c>
      <c r="H971" s="2">
        <v>4809</v>
      </c>
      <c r="I971" s="2">
        <v>4967.4399999999996</v>
      </c>
      <c r="J971" t="s">
        <v>27</v>
      </c>
      <c r="K971">
        <v>0.12</v>
      </c>
      <c r="L971" t="s">
        <v>21</v>
      </c>
      <c r="M971" t="s">
        <v>22</v>
      </c>
      <c r="N971" t="s">
        <v>56</v>
      </c>
      <c r="O971" s="2">
        <f>_Salesdata[[#This Row],[Unit_Price]] * _Salesdata[[#This Row],[Quantity_Sold]]</f>
        <v>134120.87999999998</v>
      </c>
      <c r="P971" s="2">
        <f>_Salesdata[[#This Row],[Unit_Cost]] * _Salesdata[[#This Row],[Quantity_Sold]]</f>
        <v>129843</v>
      </c>
      <c r="Q971" s="2">
        <f>_Salesdata[[#This Row],[Gross_Sales]] - _Salesdata[[#This Row],[Total Cost]]</f>
        <v>4277.8799999999756</v>
      </c>
      <c r="R971" s="2"/>
    </row>
    <row r="972" spans="1:18" x14ac:dyDescent="0.25">
      <c r="A972">
        <v>1032</v>
      </c>
      <c r="B972" s="1">
        <v>45085</v>
      </c>
      <c r="C972" t="s">
        <v>48</v>
      </c>
      <c r="D972" t="s">
        <v>25</v>
      </c>
      <c r="E972" s="2">
        <v>219.82</v>
      </c>
      <c r="F972">
        <v>49</v>
      </c>
      <c r="G972" t="s">
        <v>26</v>
      </c>
      <c r="H972" s="2">
        <v>4812.41</v>
      </c>
      <c r="I972" s="2">
        <v>5088</v>
      </c>
      <c r="J972" t="s">
        <v>20</v>
      </c>
      <c r="K972">
        <v>0.09</v>
      </c>
      <c r="L972" t="s">
        <v>28</v>
      </c>
      <c r="M972" t="s">
        <v>22</v>
      </c>
      <c r="N972" t="s">
        <v>49</v>
      </c>
      <c r="O972" s="2">
        <f>_Salesdata[[#This Row],[Unit_Price]] * _Salesdata[[#This Row],[Quantity_Sold]]</f>
        <v>249312</v>
      </c>
      <c r="P972" s="2">
        <f>_Salesdata[[#This Row],[Unit_Cost]] * _Salesdata[[#This Row],[Quantity_Sold]]</f>
        <v>235808.09</v>
      </c>
      <c r="Q972" s="2">
        <f>_Salesdata[[#This Row],[Gross_Sales]] - _Salesdata[[#This Row],[Total Cost]]</f>
        <v>13503.910000000003</v>
      </c>
      <c r="R972" s="2"/>
    </row>
    <row r="973" spans="1:18" x14ac:dyDescent="0.25">
      <c r="A973">
        <v>1050</v>
      </c>
      <c r="B973" s="1">
        <v>45125</v>
      </c>
      <c r="C973" t="s">
        <v>48</v>
      </c>
      <c r="D973" t="s">
        <v>40</v>
      </c>
      <c r="E973" s="2">
        <v>6107.78</v>
      </c>
      <c r="F973">
        <v>43</v>
      </c>
      <c r="G973" t="s">
        <v>39</v>
      </c>
      <c r="H973" s="2">
        <v>4834.47</v>
      </c>
      <c r="I973" s="2">
        <v>4973.38</v>
      </c>
      <c r="J973" t="s">
        <v>20</v>
      </c>
      <c r="K973">
        <v>0.03</v>
      </c>
      <c r="L973" t="s">
        <v>44</v>
      </c>
      <c r="M973" t="s">
        <v>22</v>
      </c>
      <c r="N973" t="s">
        <v>50</v>
      </c>
      <c r="O973" s="2">
        <f>_Salesdata[[#This Row],[Unit_Price]] * _Salesdata[[#This Row],[Quantity_Sold]]</f>
        <v>213855.34</v>
      </c>
      <c r="P973" s="2">
        <f>_Salesdata[[#This Row],[Unit_Cost]] * _Salesdata[[#This Row],[Quantity_Sold]]</f>
        <v>207882.21000000002</v>
      </c>
      <c r="Q973" s="2">
        <f>_Salesdata[[#This Row],[Gross_Sales]] - _Salesdata[[#This Row],[Total Cost]]</f>
        <v>5973.1299999999756</v>
      </c>
      <c r="R973" s="2"/>
    </row>
    <row r="974" spans="1:18" x14ac:dyDescent="0.25">
      <c r="A974">
        <v>1004</v>
      </c>
      <c r="B974" s="1">
        <v>45282</v>
      </c>
      <c r="C974" t="s">
        <v>48</v>
      </c>
      <c r="D974" t="s">
        <v>37</v>
      </c>
      <c r="E974" s="2">
        <v>8485.9</v>
      </c>
      <c r="F974">
        <v>11</v>
      </c>
      <c r="G974" t="s">
        <v>19</v>
      </c>
      <c r="H974" s="2">
        <v>4840.33</v>
      </c>
      <c r="I974" s="2">
        <v>4884.29</v>
      </c>
      <c r="J974" t="s">
        <v>27</v>
      </c>
      <c r="K974">
        <v>0.13</v>
      </c>
      <c r="L974" t="s">
        <v>21</v>
      </c>
      <c r="M974" t="s">
        <v>22</v>
      </c>
      <c r="N974" t="s">
        <v>52</v>
      </c>
      <c r="O974" s="2">
        <f>_Salesdata[[#This Row],[Unit_Price]] * _Salesdata[[#This Row],[Quantity_Sold]]</f>
        <v>53727.19</v>
      </c>
      <c r="P974" s="2">
        <f>_Salesdata[[#This Row],[Unit_Cost]] * _Salesdata[[#This Row],[Quantity_Sold]]</f>
        <v>53243.63</v>
      </c>
      <c r="Q974" s="2">
        <f>_Salesdata[[#This Row],[Gross_Sales]] - _Salesdata[[#This Row],[Total Cost]]</f>
        <v>483.56000000000495</v>
      </c>
      <c r="R974" s="2"/>
    </row>
    <row r="975" spans="1:18" x14ac:dyDescent="0.25">
      <c r="A975">
        <v>1028</v>
      </c>
      <c r="B975" s="1">
        <v>45149</v>
      </c>
      <c r="C975" t="s">
        <v>35</v>
      </c>
      <c r="D975" t="s">
        <v>25</v>
      </c>
      <c r="E975" s="2">
        <v>5809.35</v>
      </c>
      <c r="F975">
        <v>45</v>
      </c>
      <c r="G975" t="s">
        <v>19</v>
      </c>
      <c r="H975" s="2">
        <v>4848.9799999999996</v>
      </c>
      <c r="I975" s="2">
        <v>4985.75</v>
      </c>
      <c r="J975" t="s">
        <v>20</v>
      </c>
      <c r="K975">
        <v>0.2</v>
      </c>
      <c r="L975" t="s">
        <v>44</v>
      </c>
      <c r="M975" t="s">
        <v>22</v>
      </c>
      <c r="N975" t="s">
        <v>56</v>
      </c>
      <c r="O975" s="2">
        <f>_Salesdata[[#This Row],[Unit_Price]] * _Salesdata[[#This Row],[Quantity_Sold]]</f>
        <v>224358.75</v>
      </c>
      <c r="P975" s="2">
        <f>_Salesdata[[#This Row],[Unit_Cost]] * _Salesdata[[#This Row],[Quantity_Sold]]</f>
        <v>218204.09999999998</v>
      </c>
      <c r="Q975" s="2">
        <f>_Salesdata[[#This Row],[Gross_Sales]] - _Salesdata[[#This Row],[Total Cost]]</f>
        <v>6154.6500000000233</v>
      </c>
      <c r="R975" s="2"/>
    </row>
    <row r="976" spans="1:18" x14ac:dyDescent="0.25">
      <c r="A976">
        <v>1062</v>
      </c>
      <c r="B976" s="1">
        <v>45001</v>
      </c>
      <c r="C976" t="s">
        <v>30</v>
      </c>
      <c r="D976" t="s">
        <v>25</v>
      </c>
      <c r="E976" s="2">
        <v>4195.0600000000004</v>
      </c>
      <c r="F976">
        <v>45</v>
      </c>
      <c r="G976" t="s">
        <v>39</v>
      </c>
      <c r="H976" s="2">
        <v>4849.6000000000004</v>
      </c>
      <c r="I976" s="2">
        <v>5166.72</v>
      </c>
      <c r="J976" t="s">
        <v>20</v>
      </c>
      <c r="K976">
        <v>0.25</v>
      </c>
      <c r="L976" t="s">
        <v>28</v>
      </c>
      <c r="M976" t="s">
        <v>22</v>
      </c>
      <c r="N976" t="s">
        <v>45</v>
      </c>
      <c r="O976" s="2">
        <f>_Salesdata[[#This Row],[Unit_Price]] * _Salesdata[[#This Row],[Quantity_Sold]]</f>
        <v>232502.40000000002</v>
      </c>
      <c r="P976" s="2">
        <f>_Salesdata[[#This Row],[Unit_Cost]] * _Salesdata[[#This Row],[Quantity_Sold]]</f>
        <v>218232.00000000003</v>
      </c>
      <c r="Q976" s="2">
        <f>_Salesdata[[#This Row],[Gross_Sales]] - _Salesdata[[#This Row],[Total Cost]]</f>
        <v>14270.399999999994</v>
      </c>
      <c r="R976" s="2"/>
    </row>
    <row r="977" spans="1:18" x14ac:dyDescent="0.25">
      <c r="A977">
        <v>1001</v>
      </c>
      <c r="B977" s="1">
        <v>45056</v>
      </c>
      <c r="C977" t="s">
        <v>30</v>
      </c>
      <c r="D977" t="s">
        <v>18</v>
      </c>
      <c r="E977" s="2">
        <v>3793.91</v>
      </c>
      <c r="F977">
        <v>47</v>
      </c>
      <c r="G977" t="s">
        <v>31</v>
      </c>
      <c r="H977" s="2">
        <v>4865.33</v>
      </c>
      <c r="I977" s="2">
        <v>5316.13</v>
      </c>
      <c r="J977" t="s">
        <v>27</v>
      </c>
      <c r="K977">
        <v>0.06</v>
      </c>
      <c r="L977" t="s">
        <v>44</v>
      </c>
      <c r="M977" t="s">
        <v>22</v>
      </c>
      <c r="N977" t="s">
        <v>33</v>
      </c>
      <c r="O977" s="2">
        <f>_Salesdata[[#This Row],[Unit_Price]] * _Salesdata[[#This Row],[Quantity_Sold]]</f>
        <v>249858.11000000002</v>
      </c>
      <c r="P977" s="2">
        <f>_Salesdata[[#This Row],[Unit_Cost]] * _Salesdata[[#This Row],[Quantity_Sold]]</f>
        <v>228670.51</v>
      </c>
      <c r="Q977" s="2">
        <f>_Salesdata[[#This Row],[Gross_Sales]] - _Salesdata[[#This Row],[Total Cost]]</f>
        <v>21187.600000000006</v>
      </c>
      <c r="R977" s="2"/>
    </row>
    <row r="978" spans="1:18" x14ac:dyDescent="0.25">
      <c r="A978">
        <v>1017</v>
      </c>
      <c r="B978" s="1">
        <v>45074</v>
      </c>
      <c r="C978" t="s">
        <v>30</v>
      </c>
      <c r="D978" t="s">
        <v>18</v>
      </c>
      <c r="E978" s="2">
        <v>2222.62</v>
      </c>
      <c r="F978">
        <v>35</v>
      </c>
      <c r="G978" t="s">
        <v>26</v>
      </c>
      <c r="H978" s="2">
        <v>4867.6400000000003</v>
      </c>
      <c r="I978" s="2">
        <v>5287.05</v>
      </c>
      <c r="J978" t="s">
        <v>20</v>
      </c>
      <c r="K978">
        <v>0.28000000000000003</v>
      </c>
      <c r="L978" t="s">
        <v>28</v>
      </c>
      <c r="M978" t="s">
        <v>22</v>
      </c>
      <c r="N978" t="s">
        <v>33</v>
      </c>
      <c r="O978" s="2">
        <f>_Salesdata[[#This Row],[Unit_Price]] * _Salesdata[[#This Row],[Quantity_Sold]]</f>
        <v>185046.75</v>
      </c>
      <c r="P978" s="2">
        <f>_Salesdata[[#This Row],[Unit_Cost]] * _Salesdata[[#This Row],[Quantity_Sold]]</f>
        <v>170367.40000000002</v>
      </c>
      <c r="Q978" s="2">
        <f>_Salesdata[[#This Row],[Gross_Sales]] - _Salesdata[[#This Row],[Total Cost]]</f>
        <v>14679.349999999977</v>
      </c>
      <c r="R978" s="2"/>
    </row>
    <row r="979" spans="1:18" x14ac:dyDescent="0.25">
      <c r="A979">
        <v>1004</v>
      </c>
      <c r="B979" s="1">
        <v>45105</v>
      </c>
      <c r="C979" t="s">
        <v>17</v>
      </c>
      <c r="D979" t="s">
        <v>25</v>
      </c>
      <c r="E979" s="2">
        <v>8003.1</v>
      </c>
      <c r="F979">
        <v>38</v>
      </c>
      <c r="G979" t="s">
        <v>39</v>
      </c>
      <c r="H979" s="2">
        <v>4881.63</v>
      </c>
      <c r="I979" s="2">
        <v>5088.0600000000004</v>
      </c>
      <c r="J979" t="s">
        <v>20</v>
      </c>
      <c r="K979">
        <v>0.16</v>
      </c>
      <c r="L979" t="s">
        <v>28</v>
      </c>
      <c r="M979" t="s">
        <v>32</v>
      </c>
      <c r="N979" t="s">
        <v>34</v>
      </c>
      <c r="O979" s="2">
        <f>_Salesdata[[#This Row],[Unit_Price]] * _Salesdata[[#This Row],[Quantity_Sold]]</f>
        <v>193346.28000000003</v>
      </c>
      <c r="P979" s="2">
        <f>_Salesdata[[#This Row],[Unit_Cost]] * _Salesdata[[#This Row],[Quantity_Sold]]</f>
        <v>185501.94</v>
      </c>
      <c r="Q979" s="2">
        <f>_Salesdata[[#This Row],[Gross_Sales]] - _Salesdata[[#This Row],[Total Cost]]</f>
        <v>7844.3400000000256</v>
      </c>
      <c r="R979" s="2"/>
    </row>
    <row r="980" spans="1:18" x14ac:dyDescent="0.25">
      <c r="A980">
        <v>1097</v>
      </c>
      <c r="B980" s="1">
        <v>45007</v>
      </c>
      <c r="C980" t="s">
        <v>48</v>
      </c>
      <c r="D980" t="s">
        <v>37</v>
      </c>
      <c r="E980" s="2">
        <v>6747.64</v>
      </c>
      <c r="F980">
        <v>6</v>
      </c>
      <c r="G980" t="s">
        <v>26</v>
      </c>
      <c r="H980" s="2">
        <v>4885.9799999999996</v>
      </c>
      <c r="I980" s="2">
        <v>4949.95</v>
      </c>
      <c r="J980" t="s">
        <v>20</v>
      </c>
      <c r="K980">
        <v>0.17</v>
      </c>
      <c r="L980" t="s">
        <v>44</v>
      </c>
      <c r="M980" t="s">
        <v>22</v>
      </c>
      <c r="N980" t="s">
        <v>52</v>
      </c>
      <c r="O980" s="2">
        <f>_Salesdata[[#This Row],[Unit_Price]] * _Salesdata[[#This Row],[Quantity_Sold]]</f>
        <v>29699.699999999997</v>
      </c>
      <c r="P980" s="2">
        <f>_Salesdata[[#This Row],[Unit_Cost]] * _Salesdata[[#This Row],[Quantity_Sold]]</f>
        <v>29315.879999999997</v>
      </c>
      <c r="Q980" s="2">
        <f>_Salesdata[[#This Row],[Gross_Sales]] - _Salesdata[[#This Row],[Total Cost]]</f>
        <v>383.81999999999971</v>
      </c>
      <c r="R980" s="2"/>
    </row>
    <row r="981" spans="1:18" x14ac:dyDescent="0.25">
      <c r="A981">
        <v>1064</v>
      </c>
      <c r="B981" s="1">
        <v>45279</v>
      </c>
      <c r="C981" t="s">
        <v>24</v>
      </c>
      <c r="D981" t="s">
        <v>25</v>
      </c>
      <c r="E981" s="2">
        <v>106.47</v>
      </c>
      <c r="F981">
        <v>35</v>
      </c>
      <c r="G981" t="s">
        <v>19</v>
      </c>
      <c r="H981" s="2">
        <v>4900.03</v>
      </c>
      <c r="I981" s="2">
        <v>5118.83</v>
      </c>
      <c r="J981" t="s">
        <v>20</v>
      </c>
      <c r="K981">
        <v>7.0000000000000007E-2</v>
      </c>
      <c r="L981" t="s">
        <v>28</v>
      </c>
      <c r="M981" t="s">
        <v>32</v>
      </c>
      <c r="N981" t="s">
        <v>29</v>
      </c>
      <c r="O981" s="2">
        <f>_Salesdata[[#This Row],[Unit_Price]] * _Salesdata[[#This Row],[Quantity_Sold]]</f>
        <v>179159.05</v>
      </c>
      <c r="P981" s="2">
        <f>_Salesdata[[#This Row],[Unit_Cost]] * _Salesdata[[#This Row],[Quantity_Sold]]</f>
        <v>171501.05</v>
      </c>
      <c r="Q981" s="2">
        <f>_Salesdata[[#This Row],[Gross_Sales]] - _Salesdata[[#This Row],[Total Cost]]</f>
        <v>7658</v>
      </c>
      <c r="R981" s="2"/>
    </row>
    <row r="982" spans="1:18" x14ac:dyDescent="0.25">
      <c r="A982">
        <v>1088</v>
      </c>
      <c r="B982" s="1">
        <v>45203</v>
      </c>
      <c r="C982" t="s">
        <v>17</v>
      </c>
      <c r="D982" t="s">
        <v>18</v>
      </c>
      <c r="E982" s="2">
        <v>6116.75</v>
      </c>
      <c r="F982">
        <v>40</v>
      </c>
      <c r="G982" t="s">
        <v>26</v>
      </c>
      <c r="H982" s="2">
        <v>4904.93</v>
      </c>
      <c r="I982" s="2">
        <v>5034.3500000000004</v>
      </c>
      <c r="J982" t="s">
        <v>27</v>
      </c>
      <c r="K982">
        <v>0.1</v>
      </c>
      <c r="L982" t="s">
        <v>28</v>
      </c>
      <c r="M982" t="s">
        <v>32</v>
      </c>
      <c r="N982" t="s">
        <v>23</v>
      </c>
      <c r="O982" s="2">
        <f>_Salesdata[[#This Row],[Unit_Price]] * _Salesdata[[#This Row],[Quantity_Sold]]</f>
        <v>201374</v>
      </c>
      <c r="P982" s="2">
        <f>_Salesdata[[#This Row],[Unit_Cost]] * _Salesdata[[#This Row],[Quantity_Sold]]</f>
        <v>196197.2</v>
      </c>
      <c r="Q982" s="2">
        <f>_Salesdata[[#This Row],[Gross_Sales]] - _Salesdata[[#This Row],[Total Cost]]</f>
        <v>5176.7999999999884</v>
      </c>
      <c r="R982" s="2"/>
    </row>
    <row r="983" spans="1:18" x14ac:dyDescent="0.25">
      <c r="A983">
        <v>1011</v>
      </c>
      <c r="B983" s="1">
        <v>45005</v>
      </c>
      <c r="C983" t="s">
        <v>17</v>
      </c>
      <c r="D983" t="s">
        <v>18</v>
      </c>
      <c r="E983" s="2">
        <v>3484.86</v>
      </c>
      <c r="F983">
        <v>2</v>
      </c>
      <c r="G983" t="s">
        <v>39</v>
      </c>
      <c r="H983" s="2">
        <v>4906.17</v>
      </c>
      <c r="I983" s="2">
        <v>5107.43</v>
      </c>
      <c r="J983" t="s">
        <v>20</v>
      </c>
      <c r="K983">
        <v>0.1</v>
      </c>
      <c r="L983" t="s">
        <v>21</v>
      </c>
      <c r="M983" t="s">
        <v>22</v>
      </c>
      <c r="N983" t="s">
        <v>23</v>
      </c>
      <c r="O983" s="2">
        <f>_Salesdata[[#This Row],[Unit_Price]] * _Salesdata[[#This Row],[Quantity_Sold]]</f>
        <v>10214.86</v>
      </c>
      <c r="P983" s="2">
        <f>_Salesdata[[#This Row],[Unit_Cost]] * _Salesdata[[#This Row],[Quantity_Sold]]</f>
        <v>9812.34</v>
      </c>
      <c r="Q983" s="2">
        <f>_Salesdata[[#This Row],[Gross_Sales]] - _Salesdata[[#This Row],[Total Cost]]</f>
        <v>402.52000000000044</v>
      </c>
      <c r="R983" s="2"/>
    </row>
    <row r="984" spans="1:18" x14ac:dyDescent="0.25">
      <c r="A984">
        <v>1016</v>
      </c>
      <c r="B984" s="1">
        <v>45253</v>
      </c>
      <c r="C984" t="s">
        <v>48</v>
      </c>
      <c r="D984" t="s">
        <v>18</v>
      </c>
      <c r="E984" s="2">
        <v>5490.52</v>
      </c>
      <c r="F984">
        <v>26</v>
      </c>
      <c r="G984" t="s">
        <v>19</v>
      </c>
      <c r="H984" s="2">
        <v>4906.8500000000004</v>
      </c>
      <c r="I984" s="2">
        <v>4954.3900000000003</v>
      </c>
      <c r="J984" t="s">
        <v>27</v>
      </c>
      <c r="K984">
        <v>0.25</v>
      </c>
      <c r="L984" t="s">
        <v>44</v>
      </c>
      <c r="M984" t="s">
        <v>22</v>
      </c>
      <c r="N984" t="s">
        <v>54</v>
      </c>
      <c r="O984" s="2">
        <f>_Salesdata[[#This Row],[Unit_Price]] * _Salesdata[[#This Row],[Quantity_Sold]]</f>
        <v>128814.14000000001</v>
      </c>
      <c r="P984" s="2">
        <f>_Salesdata[[#This Row],[Unit_Cost]] * _Salesdata[[#This Row],[Quantity_Sold]]</f>
        <v>127578.1</v>
      </c>
      <c r="Q984" s="2">
        <f>_Salesdata[[#This Row],[Gross_Sales]] - _Salesdata[[#This Row],[Total Cost]]</f>
        <v>1236.0400000000081</v>
      </c>
      <c r="R984" s="2"/>
    </row>
    <row r="985" spans="1:18" x14ac:dyDescent="0.25">
      <c r="A985">
        <v>1021</v>
      </c>
      <c r="B985" s="1">
        <v>45101</v>
      </c>
      <c r="C985" t="s">
        <v>24</v>
      </c>
      <c r="D985" t="s">
        <v>25</v>
      </c>
      <c r="E985" s="2">
        <v>9422.75</v>
      </c>
      <c r="F985">
        <v>24</v>
      </c>
      <c r="G985" t="s">
        <v>26</v>
      </c>
      <c r="H985" s="2">
        <v>4916.17</v>
      </c>
      <c r="I985" s="2">
        <v>5309.32</v>
      </c>
      <c r="J985" t="s">
        <v>20</v>
      </c>
      <c r="K985">
        <v>0.19</v>
      </c>
      <c r="L985" t="s">
        <v>28</v>
      </c>
      <c r="M985" t="s">
        <v>22</v>
      </c>
      <c r="N985" t="s">
        <v>29</v>
      </c>
      <c r="O985" s="2">
        <f>_Salesdata[[#This Row],[Unit_Price]] * _Salesdata[[#This Row],[Quantity_Sold]]</f>
        <v>127423.67999999999</v>
      </c>
      <c r="P985" s="2">
        <f>_Salesdata[[#This Row],[Unit_Cost]] * _Salesdata[[#This Row],[Quantity_Sold]]</f>
        <v>117988.08</v>
      </c>
      <c r="Q985" s="2">
        <f>_Salesdata[[#This Row],[Gross_Sales]] - _Salesdata[[#This Row],[Total Cost]]</f>
        <v>9435.5999999999913</v>
      </c>
      <c r="R985" s="2"/>
    </row>
    <row r="986" spans="1:18" x14ac:dyDescent="0.25">
      <c r="A986">
        <v>1045</v>
      </c>
      <c r="B986" s="1">
        <v>45102</v>
      </c>
      <c r="C986" t="s">
        <v>48</v>
      </c>
      <c r="D986" t="s">
        <v>40</v>
      </c>
      <c r="E986" s="2">
        <v>1489.21</v>
      </c>
      <c r="F986">
        <v>9</v>
      </c>
      <c r="G986" t="s">
        <v>19</v>
      </c>
      <c r="H986" s="2">
        <v>4920.34</v>
      </c>
      <c r="I986" s="2">
        <v>5129.1899999999996</v>
      </c>
      <c r="J986" t="s">
        <v>20</v>
      </c>
      <c r="K986">
        <v>0.13</v>
      </c>
      <c r="L986" t="s">
        <v>28</v>
      </c>
      <c r="M986" t="s">
        <v>22</v>
      </c>
      <c r="N986" t="s">
        <v>50</v>
      </c>
      <c r="O986" s="2">
        <f>_Salesdata[[#This Row],[Unit_Price]] * _Salesdata[[#This Row],[Quantity_Sold]]</f>
        <v>46162.71</v>
      </c>
      <c r="P986" s="2">
        <f>_Salesdata[[#This Row],[Unit_Cost]] * _Salesdata[[#This Row],[Quantity_Sold]]</f>
        <v>44283.06</v>
      </c>
      <c r="Q986" s="2">
        <f>_Salesdata[[#This Row],[Gross_Sales]] - _Salesdata[[#This Row],[Total Cost]]</f>
        <v>1879.6500000000015</v>
      </c>
      <c r="R986" s="2"/>
    </row>
    <row r="987" spans="1:18" x14ac:dyDescent="0.25">
      <c r="A987">
        <v>1043</v>
      </c>
      <c r="B987" s="1">
        <v>45279</v>
      </c>
      <c r="C987" t="s">
        <v>48</v>
      </c>
      <c r="D987" t="s">
        <v>40</v>
      </c>
      <c r="E987" s="2">
        <v>1633.76</v>
      </c>
      <c r="F987">
        <v>12</v>
      </c>
      <c r="G987" t="s">
        <v>26</v>
      </c>
      <c r="H987" s="2">
        <v>4920.46</v>
      </c>
      <c r="I987" s="2">
        <v>5079.68</v>
      </c>
      <c r="J987" t="s">
        <v>27</v>
      </c>
      <c r="K987">
        <v>0.21</v>
      </c>
      <c r="L987" t="s">
        <v>28</v>
      </c>
      <c r="M987" t="s">
        <v>32</v>
      </c>
      <c r="N987" t="s">
        <v>50</v>
      </c>
      <c r="O987" s="2">
        <f>_Salesdata[[#This Row],[Unit_Price]] * _Salesdata[[#This Row],[Quantity_Sold]]</f>
        <v>60956.160000000003</v>
      </c>
      <c r="P987" s="2">
        <f>_Salesdata[[#This Row],[Unit_Cost]] * _Salesdata[[#This Row],[Quantity_Sold]]</f>
        <v>59045.520000000004</v>
      </c>
      <c r="Q987" s="2">
        <f>_Salesdata[[#This Row],[Gross_Sales]] - _Salesdata[[#This Row],[Total Cost]]</f>
        <v>1910.6399999999994</v>
      </c>
      <c r="R987" s="2"/>
    </row>
    <row r="988" spans="1:18" x14ac:dyDescent="0.25">
      <c r="A988">
        <v>1099</v>
      </c>
      <c r="B988" s="1">
        <v>45030</v>
      </c>
      <c r="C988" t="s">
        <v>24</v>
      </c>
      <c r="D988" t="s">
        <v>18</v>
      </c>
      <c r="E988" s="2">
        <v>9948.7099999999991</v>
      </c>
      <c r="F988">
        <v>27</v>
      </c>
      <c r="G988" t="s">
        <v>31</v>
      </c>
      <c r="H988" s="2">
        <v>4929.55</v>
      </c>
      <c r="I988" s="2">
        <v>4990.33</v>
      </c>
      <c r="J988" t="s">
        <v>20</v>
      </c>
      <c r="K988">
        <v>0.28999999999999998</v>
      </c>
      <c r="L988" t="s">
        <v>28</v>
      </c>
      <c r="M988" t="s">
        <v>22</v>
      </c>
      <c r="N988" t="s">
        <v>46</v>
      </c>
      <c r="O988" s="2">
        <f>_Salesdata[[#This Row],[Unit_Price]] * _Salesdata[[#This Row],[Quantity_Sold]]</f>
        <v>134738.91</v>
      </c>
      <c r="P988" s="2">
        <f>_Salesdata[[#This Row],[Unit_Cost]] * _Salesdata[[#This Row],[Quantity_Sold]]</f>
        <v>133097.85</v>
      </c>
      <c r="Q988" s="2">
        <f>_Salesdata[[#This Row],[Gross_Sales]] - _Salesdata[[#This Row],[Total Cost]]</f>
        <v>1641.0599999999977</v>
      </c>
      <c r="R988" s="2"/>
    </row>
    <row r="989" spans="1:18" x14ac:dyDescent="0.25">
      <c r="A989">
        <v>1030</v>
      </c>
      <c r="B989" s="1">
        <v>45121</v>
      </c>
      <c r="C989" t="s">
        <v>17</v>
      </c>
      <c r="D989" t="s">
        <v>18</v>
      </c>
      <c r="E989" s="2">
        <v>3407.09</v>
      </c>
      <c r="F989">
        <v>39</v>
      </c>
      <c r="G989" t="s">
        <v>19</v>
      </c>
      <c r="H989" s="2">
        <v>4929.7299999999996</v>
      </c>
      <c r="I989" s="2">
        <v>5088.0199999999904</v>
      </c>
      <c r="J989" t="s">
        <v>27</v>
      </c>
      <c r="K989">
        <v>0.23</v>
      </c>
      <c r="L989" t="s">
        <v>44</v>
      </c>
      <c r="M989" t="s">
        <v>32</v>
      </c>
      <c r="N989" t="s">
        <v>23</v>
      </c>
      <c r="O989" s="2">
        <f>_Salesdata[[#This Row],[Unit_Price]] * _Salesdata[[#This Row],[Quantity_Sold]]</f>
        <v>198432.77999999962</v>
      </c>
      <c r="P989" s="2">
        <f>_Salesdata[[#This Row],[Unit_Cost]] * _Salesdata[[#This Row],[Quantity_Sold]]</f>
        <v>192259.46999999997</v>
      </c>
      <c r="Q989" s="2">
        <f>_Salesdata[[#This Row],[Gross_Sales]] - _Salesdata[[#This Row],[Total Cost]]</f>
        <v>6173.3099999996484</v>
      </c>
      <c r="R989" s="2"/>
    </row>
    <row r="990" spans="1:18" x14ac:dyDescent="0.25">
      <c r="A990">
        <v>1099</v>
      </c>
      <c r="B990" s="1">
        <v>45167</v>
      </c>
      <c r="C990" t="s">
        <v>24</v>
      </c>
      <c r="D990" t="s">
        <v>25</v>
      </c>
      <c r="E990" s="2">
        <v>4567.8100000000004</v>
      </c>
      <c r="F990">
        <v>44</v>
      </c>
      <c r="G990" t="s">
        <v>19</v>
      </c>
      <c r="H990" s="2">
        <v>4933.1099999999997</v>
      </c>
      <c r="I990" s="2">
        <v>5245.86</v>
      </c>
      <c r="J990" t="s">
        <v>20</v>
      </c>
      <c r="K990">
        <v>0.13</v>
      </c>
      <c r="L990" t="s">
        <v>44</v>
      </c>
      <c r="M990" t="s">
        <v>32</v>
      </c>
      <c r="N990" t="s">
        <v>29</v>
      </c>
      <c r="O990" s="2">
        <f>_Salesdata[[#This Row],[Unit_Price]] * _Salesdata[[#This Row],[Quantity_Sold]]</f>
        <v>230817.84</v>
      </c>
      <c r="P990" s="2">
        <f>_Salesdata[[#This Row],[Unit_Cost]] * _Salesdata[[#This Row],[Quantity_Sold]]</f>
        <v>217056.84</v>
      </c>
      <c r="Q990" s="2">
        <f>_Salesdata[[#This Row],[Gross_Sales]] - _Salesdata[[#This Row],[Total Cost]]</f>
        <v>13761</v>
      </c>
      <c r="R990" s="2"/>
    </row>
    <row r="991" spans="1:18" x14ac:dyDescent="0.25">
      <c r="A991">
        <v>1086</v>
      </c>
      <c r="B991" s="1">
        <v>44983</v>
      </c>
      <c r="C991" t="s">
        <v>17</v>
      </c>
      <c r="D991" t="s">
        <v>25</v>
      </c>
      <c r="E991" s="2">
        <v>2559</v>
      </c>
      <c r="F991">
        <v>5</v>
      </c>
      <c r="G991" t="s">
        <v>26</v>
      </c>
      <c r="H991" s="2">
        <v>4934.1000000000004</v>
      </c>
      <c r="I991" s="2">
        <v>5191.0200000000004</v>
      </c>
      <c r="J991" t="s">
        <v>27</v>
      </c>
      <c r="K991">
        <v>0.3</v>
      </c>
      <c r="L991" t="s">
        <v>44</v>
      </c>
      <c r="M991" t="s">
        <v>22</v>
      </c>
      <c r="N991" t="s">
        <v>34</v>
      </c>
      <c r="O991" s="2">
        <f>_Salesdata[[#This Row],[Unit_Price]] * _Salesdata[[#This Row],[Quantity_Sold]]</f>
        <v>25955.100000000002</v>
      </c>
      <c r="P991" s="2">
        <f>_Salesdata[[#This Row],[Unit_Cost]] * _Salesdata[[#This Row],[Quantity_Sold]]</f>
        <v>24670.5</v>
      </c>
      <c r="Q991" s="2">
        <f>_Salesdata[[#This Row],[Gross_Sales]] - _Salesdata[[#This Row],[Total Cost]]</f>
        <v>1284.6000000000022</v>
      </c>
      <c r="R991" s="2"/>
    </row>
    <row r="992" spans="1:18" x14ac:dyDescent="0.25">
      <c r="A992">
        <v>1010</v>
      </c>
      <c r="B992" s="1">
        <v>45031</v>
      </c>
      <c r="C992" t="s">
        <v>35</v>
      </c>
      <c r="D992" t="s">
        <v>37</v>
      </c>
      <c r="E992" s="2">
        <v>4733.88</v>
      </c>
      <c r="F992">
        <v>4</v>
      </c>
      <c r="G992" t="s">
        <v>31</v>
      </c>
      <c r="H992" s="2">
        <v>4943.03</v>
      </c>
      <c r="I992" s="2">
        <v>5442.15</v>
      </c>
      <c r="J992" t="s">
        <v>20</v>
      </c>
      <c r="K992">
        <v>0.28999999999999998</v>
      </c>
      <c r="L992" t="s">
        <v>21</v>
      </c>
      <c r="M992" t="s">
        <v>22</v>
      </c>
      <c r="N992" t="s">
        <v>38</v>
      </c>
      <c r="O992" s="2">
        <f>_Salesdata[[#This Row],[Unit_Price]] * _Salesdata[[#This Row],[Quantity_Sold]]</f>
        <v>21768.6</v>
      </c>
      <c r="P992" s="2">
        <f>_Salesdata[[#This Row],[Unit_Cost]] * _Salesdata[[#This Row],[Quantity_Sold]]</f>
        <v>19772.12</v>
      </c>
      <c r="Q992" s="2">
        <f>_Salesdata[[#This Row],[Gross_Sales]] - _Salesdata[[#This Row],[Total Cost]]</f>
        <v>1996.4799999999996</v>
      </c>
      <c r="R992" s="2"/>
    </row>
    <row r="993" spans="1:18" x14ac:dyDescent="0.25">
      <c r="A993">
        <v>1037</v>
      </c>
      <c r="B993" s="1">
        <v>44935</v>
      </c>
      <c r="C993" t="s">
        <v>35</v>
      </c>
      <c r="D993" t="s">
        <v>37</v>
      </c>
      <c r="E993" s="2">
        <v>7750.81</v>
      </c>
      <c r="F993">
        <v>41</v>
      </c>
      <c r="G993" t="s">
        <v>19</v>
      </c>
      <c r="H993" s="2">
        <v>4965.07</v>
      </c>
      <c r="I993" s="2">
        <v>5243.13</v>
      </c>
      <c r="J993" t="s">
        <v>27</v>
      </c>
      <c r="K993">
        <v>0.01</v>
      </c>
      <c r="L993" t="s">
        <v>28</v>
      </c>
      <c r="M993" t="s">
        <v>22</v>
      </c>
      <c r="N993" t="s">
        <v>38</v>
      </c>
      <c r="O993" s="2">
        <f>_Salesdata[[#This Row],[Unit_Price]] * _Salesdata[[#This Row],[Quantity_Sold]]</f>
        <v>214968.33000000002</v>
      </c>
      <c r="P993" s="2">
        <f>_Salesdata[[#This Row],[Unit_Cost]] * _Salesdata[[#This Row],[Quantity_Sold]]</f>
        <v>203567.87</v>
      </c>
      <c r="Q993" s="2">
        <f>_Salesdata[[#This Row],[Gross_Sales]] - _Salesdata[[#This Row],[Total Cost]]</f>
        <v>11400.460000000021</v>
      </c>
      <c r="R993" s="2"/>
    </row>
    <row r="994" spans="1:18" x14ac:dyDescent="0.25">
      <c r="A994">
        <v>1075</v>
      </c>
      <c r="B994" s="1">
        <v>45148</v>
      </c>
      <c r="C994" t="s">
        <v>35</v>
      </c>
      <c r="D994" t="s">
        <v>37</v>
      </c>
      <c r="E994" s="2">
        <v>9217.85</v>
      </c>
      <c r="F994">
        <v>17</v>
      </c>
      <c r="G994" t="s">
        <v>26</v>
      </c>
      <c r="H994" s="2">
        <v>4966.66</v>
      </c>
      <c r="I994" s="2">
        <v>5037.2699999999904</v>
      </c>
      <c r="J994" t="s">
        <v>20</v>
      </c>
      <c r="K994">
        <v>0.24</v>
      </c>
      <c r="L994" t="s">
        <v>44</v>
      </c>
      <c r="M994" t="s">
        <v>32</v>
      </c>
      <c r="N994" t="s">
        <v>38</v>
      </c>
      <c r="O994" s="2">
        <f>_Salesdata[[#This Row],[Unit_Price]] * _Salesdata[[#This Row],[Quantity_Sold]]</f>
        <v>85633.589999999836</v>
      </c>
      <c r="P994" s="2">
        <f>_Salesdata[[#This Row],[Unit_Cost]] * _Salesdata[[#This Row],[Quantity_Sold]]</f>
        <v>84433.22</v>
      </c>
      <c r="Q994" s="2">
        <f>_Salesdata[[#This Row],[Gross_Sales]] - _Salesdata[[#This Row],[Total Cost]]</f>
        <v>1200.3699999998353</v>
      </c>
      <c r="R994" s="2"/>
    </row>
    <row r="995" spans="1:18" x14ac:dyDescent="0.25">
      <c r="A995">
        <v>1003</v>
      </c>
      <c r="B995" s="1">
        <v>44976</v>
      </c>
      <c r="C995" t="s">
        <v>24</v>
      </c>
      <c r="D995" t="s">
        <v>18</v>
      </c>
      <c r="E995" s="2">
        <v>937.2</v>
      </c>
      <c r="F995">
        <v>45</v>
      </c>
      <c r="G995" t="s">
        <v>26</v>
      </c>
      <c r="H995" s="2">
        <v>4974.1400000000003</v>
      </c>
      <c r="I995" s="2">
        <v>5227.93</v>
      </c>
      <c r="J995" t="s">
        <v>27</v>
      </c>
      <c r="K995">
        <v>0.21</v>
      </c>
      <c r="L995" t="s">
        <v>44</v>
      </c>
      <c r="M995" t="s">
        <v>22</v>
      </c>
      <c r="N995" t="s">
        <v>46</v>
      </c>
      <c r="O995" s="2">
        <f>_Salesdata[[#This Row],[Unit_Price]] * _Salesdata[[#This Row],[Quantity_Sold]]</f>
        <v>235256.85</v>
      </c>
      <c r="P995" s="2">
        <f>_Salesdata[[#This Row],[Unit_Cost]] * _Salesdata[[#This Row],[Quantity_Sold]]</f>
        <v>223836.30000000002</v>
      </c>
      <c r="Q995" s="2">
        <f>_Salesdata[[#This Row],[Gross_Sales]] - _Salesdata[[#This Row],[Total Cost]]</f>
        <v>11420.549999999988</v>
      </c>
      <c r="R995" s="2"/>
    </row>
    <row r="996" spans="1:18" x14ac:dyDescent="0.25">
      <c r="A996">
        <v>1019</v>
      </c>
      <c r="B996" s="1">
        <v>45211</v>
      </c>
      <c r="C996" t="s">
        <v>35</v>
      </c>
      <c r="D996" t="s">
        <v>25</v>
      </c>
      <c r="E996" s="2">
        <v>220.35</v>
      </c>
      <c r="F996">
        <v>16</v>
      </c>
      <c r="G996" t="s">
        <v>19</v>
      </c>
      <c r="H996" s="2">
        <v>4977.78</v>
      </c>
      <c r="I996" s="2">
        <v>4995.55</v>
      </c>
      <c r="J996" t="s">
        <v>27</v>
      </c>
      <c r="K996">
        <v>0.25</v>
      </c>
      <c r="L996" t="s">
        <v>28</v>
      </c>
      <c r="M996" t="s">
        <v>22</v>
      </c>
      <c r="N996" t="s">
        <v>56</v>
      </c>
      <c r="O996" s="2">
        <f>_Salesdata[[#This Row],[Unit_Price]] * _Salesdata[[#This Row],[Quantity_Sold]]</f>
        <v>79928.800000000003</v>
      </c>
      <c r="P996" s="2">
        <f>_Salesdata[[#This Row],[Unit_Cost]] * _Salesdata[[#This Row],[Quantity_Sold]]</f>
        <v>79644.479999999996</v>
      </c>
      <c r="Q996" s="2">
        <f>_Salesdata[[#This Row],[Gross_Sales]] - _Salesdata[[#This Row],[Total Cost]]</f>
        <v>284.32000000000698</v>
      </c>
      <c r="R996" s="2"/>
    </row>
    <row r="997" spans="1:18" x14ac:dyDescent="0.25">
      <c r="A997">
        <v>1060</v>
      </c>
      <c r="B997" s="1">
        <v>44937</v>
      </c>
      <c r="C997" t="s">
        <v>35</v>
      </c>
      <c r="D997" t="s">
        <v>25</v>
      </c>
      <c r="E997" s="2">
        <v>1016.99</v>
      </c>
      <c r="F997">
        <v>34</v>
      </c>
      <c r="G997" t="s">
        <v>26</v>
      </c>
      <c r="H997" s="2">
        <v>4984.21</v>
      </c>
      <c r="I997" s="2">
        <v>5184.6400000000003</v>
      </c>
      <c r="J997" t="s">
        <v>27</v>
      </c>
      <c r="K997">
        <v>0.17</v>
      </c>
      <c r="L997" t="s">
        <v>21</v>
      </c>
      <c r="M997" t="s">
        <v>22</v>
      </c>
      <c r="N997" t="s">
        <v>56</v>
      </c>
      <c r="O997" s="2">
        <f>_Salesdata[[#This Row],[Unit_Price]] * _Salesdata[[#This Row],[Quantity_Sold]]</f>
        <v>176277.76000000001</v>
      </c>
      <c r="P997" s="2">
        <f>_Salesdata[[#This Row],[Unit_Cost]] * _Salesdata[[#This Row],[Quantity_Sold]]</f>
        <v>169463.14</v>
      </c>
      <c r="Q997" s="2">
        <f>_Salesdata[[#This Row],[Gross_Sales]] - _Salesdata[[#This Row],[Total Cost]]</f>
        <v>6814.6199999999953</v>
      </c>
      <c r="R997" s="2"/>
    </row>
    <row r="998" spans="1:18" x14ac:dyDescent="0.25">
      <c r="A998">
        <v>1058</v>
      </c>
      <c r="B998" s="1">
        <v>44940</v>
      </c>
      <c r="C998" t="s">
        <v>17</v>
      </c>
      <c r="D998" t="s">
        <v>18</v>
      </c>
      <c r="E998" s="2">
        <v>5235.1400000000003</v>
      </c>
      <c r="F998">
        <v>6</v>
      </c>
      <c r="G998" t="s">
        <v>31</v>
      </c>
      <c r="H998" s="2">
        <v>4987.71</v>
      </c>
      <c r="I998" s="2">
        <v>4998.78</v>
      </c>
      <c r="J998" t="s">
        <v>20</v>
      </c>
      <c r="K998">
        <v>0.17</v>
      </c>
      <c r="L998" t="s">
        <v>21</v>
      </c>
      <c r="M998" t="s">
        <v>32</v>
      </c>
      <c r="N998" t="s">
        <v>23</v>
      </c>
      <c r="O998" s="2">
        <f>_Salesdata[[#This Row],[Unit_Price]] * _Salesdata[[#This Row],[Quantity_Sold]]</f>
        <v>29992.68</v>
      </c>
      <c r="P998" s="2">
        <f>_Salesdata[[#This Row],[Unit_Cost]] * _Salesdata[[#This Row],[Quantity_Sold]]</f>
        <v>29926.260000000002</v>
      </c>
      <c r="Q998" s="2">
        <f>_Salesdata[[#This Row],[Gross_Sales]] - _Salesdata[[#This Row],[Total Cost]]</f>
        <v>66.419999999998254</v>
      </c>
      <c r="R998" s="2"/>
    </row>
    <row r="999" spans="1:18" x14ac:dyDescent="0.25">
      <c r="A999">
        <v>1100</v>
      </c>
      <c r="B999" s="1">
        <v>45261</v>
      </c>
      <c r="C999" t="s">
        <v>24</v>
      </c>
      <c r="D999" t="s">
        <v>18</v>
      </c>
      <c r="E999" s="2">
        <v>1387.8</v>
      </c>
      <c r="F999">
        <v>34</v>
      </c>
      <c r="G999" t="s">
        <v>39</v>
      </c>
      <c r="H999" s="2">
        <v>4991.09</v>
      </c>
      <c r="I999" s="2">
        <v>5402.28</v>
      </c>
      <c r="J999" t="s">
        <v>20</v>
      </c>
      <c r="K999">
        <v>0</v>
      </c>
      <c r="L999" t="s">
        <v>21</v>
      </c>
      <c r="M999" t="s">
        <v>32</v>
      </c>
      <c r="N999" t="s">
        <v>46</v>
      </c>
      <c r="O999" s="2">
        <f>_Salesdata[[#This Row],[Unit_Price]] * _Salesdata[[#This Row],[Quantity_Sold]]</f>
        <v>183677.52</v>
      </c>
      <c r="P999" s="2">
        <f>_Salesdata[[#This Row],[Unit_Cost]] * _Salesdata[[#This Row],[Quantity_Sold]]</f>
        <v>169697.06</v>
      </c>
      <c r="Q999" s="2">
        <f>_Salesdata[[#This Row],[Gross_Sales]] - _Salesdata[[#This Row],[Total Cost]]</f>
        <v>13980.459999999992</v>
      </c>
      <c r="R999" s="2"/>
    </row>
    <row r="1000" spans="1:18" x14ac:dyDescent="0.25">
      <c r="A1000">
        <v>1026</v>
      </c>
      <c r="B1000" s="1">
        <v>45005</v>
      </c>
      <c r="C1000" t="s">
        <v>17</v>
      </c>
      <c r="D1000" t="s">
        <v>18</v>
      </c>
      <c r="E1000" s="2">
        <v>614.69000000000005</v>
      </c>
      <c r="F1000">
        <v>19</v>
      </c>
      <c r="G1000" t="s">
        <v>26</v>
      </c>
      <c r="H1000" s="2">
        <v>4991.68</v>
      </c>
      <c r="I1000" s="2">
        <v>5296.65</v>
      </c>
      <c r="J1000" t="s">
        <v>27</v>
      </c>
      <c r="K1000">
        <v>0.12</v>
      </c>
      <c r="L1000" t="s">
        <v>44</v>
      </c>
      <c r="M1000" t="s">
        <v>22</v>
      </c>
      <c r="N1000" t="s">
        <v>23</v>
      </c>
      <c r="O1000" s="2">
        <f>_Salesdata[[#This Row],[Unit_Price]] * _Salesdata[[#This Row],[Quantity_Sold]]</f>
        <v>100636.34999999999</v>
      </c>
      <c r="P1000" s="2">
        <f>_Salesdata[[#This Row],[Unit_Cost]] * _Salesdata[[#This Row],[Quantity_Sold]]</f>
        <v>94841.920000000013</v>
      </c>
      <c r="Q1000" s="2">
        <f>_Salesdata[[#This Row],[Gross_Sales]] - _Salesdata[[#This Row],[Total Cost]]</f>
        <v>5794.4299999999785</v>
      </c>
      <c r="R1000" s="2"/>
    </row>
    <row r="1001" spans="1:18" x14ac:dyDescent="0.25">
      <c r="A1001">
        <v>1057</v>
      </c>
      <c r="B1001" s="1">
        <v>44957</v>
      </c>
      <c r="C1001" t="s">
        <v>35</v>
      </c>
      <c r="D1001" t="s">
        <v>37</v>
      </c>
      <c r="E1001" s="2">
        <v>975.01</v>
      </c>
      <c r="F1001">
        <v>36</v>
      </c>
      <c r="G1001" t="s">
        <v>31</v>
      </c>
      <c r="H1001" s="2">
        <v>4995.3</v>
      </c>
      <c r="I1001" s="2">
        <v>5165.09</v>
      </c>
      <c r="J1001" t="s">
        <v>20</v>
      </c>
      <c r="K1001">
        <v>0.24</v>
      </c>
      <c r="L1001" t="s">
        <v>21</v>
      </c>
      <c r="M1001" t="s">
        <v>22</v>
      </c>
      <c r="N1001" t="s">
        <v>38</v>
      </c>
      <c r="O1001" s="2">
        <f>_Salesdata[[#This Row],[Unit_Price]] * _Salesdata[[#This Row],[Quantity_Sold]]</f>
        <v>185943.24</v>
      </c>
      <c r="P1001" s="2">
        <f>_Salesdata[[#This Row],[Unit_Cost]] * _Salesdata[[#This Row],[Quantity_Sold]]</f>
        <v>179830.80000000002</v>
      </c>
      <c r="Q1001" s="2">
        <f>_Salesdata[[#This Row],[Gross_Sales]] - _Salesdata[[#This Row],[Total Cost]]</f>
        <v>6112.4399999999732</v>
      </c>
      <c r="R1001"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F3643-0D1C-4687-B5EB-36017499FAE0}">
  <dimension ref="A1:H34"/>
  <sheetViews>
    <sheetView workbookViewId="0">
      <selection activeCell="G17" activeCellId="1" sqref="L18 G17"/>
    </sheetView>
  </sheetViews>
  <sheetFormatPr defaultRowHeight="15" x14ac:dyDescent="0.25"/>
  <cols>
    <col min="1" max="1" width="13.140625" bestFit="1" customWidth="1"/>
    <col min="2" max="2" width="20.140625" bestFit="1" customWidth="1"/>
    <col min="3" max="3" width="17" bestFit="1" customWidth="1"/>
    <col min="4" max="4" width="23.5703125" bestFit="1" customWidth="1"/>
    <col min="6" max="6" width="13.140625" bestFit="1" customWidth="1"/>
    <col min="7" max="7" width="18.42578125" style="2" bestFit="1" customWidth="1"/>
    <col min="8" max="8" width="20.42578125" bestFit="1" customWidth="1"/>
  </cols>
  <sheetData>
    <row r="1" spans="1:7" x14ac:dyDescent="0.25">
      <c r="A1" t="s">
        <v>57</v>
      </c>
      <c r="F1" s="3" t="s">
        <v>58</v>
      </c>
      <c r="G1" s="2" t="s">
        <v>72</v>
      </c>
    </row>
    <row r="2" spans="1:7" x14ac:dyDescent="0.25">
      <c r="A2" s="2">
        <v>6487847.0699999696</v>
      </c>
      <c r="F2" s="4" t="s">
        <v>31</v>
      </c>
      <c r="G2" s="2">
        <v>15141885.649999995</v>
      </c>
    </row>
    <row r="3" spans="1:7" x14ac:dyDescent="0.25">
      <c r="F3" s="4" t="s">
        <v>26</v>
      </c>
      <c r="G3" s="2">
        <v>17571040.57</v>
      </c>
    </row>
    <row r="4" spans="1:7" x14ac:dyDescent="0.25">
      <c r="F4" s="4" t="s">
        <v>39</v>
      </c>
      <c r="G4" s="2">
        <v>18330280.559999991</v>
      </c>
    </row>
    <row r="5" spans="1:7" x14ac:dyDescent="0.25">
      <c r="A5" s="3" t="s">
        <v>58</v>
      </c>
      <c r="B5" s="2" t="s">
        <v>72</v>
      </c>
      <c r="C5" s="2" t="s">
        <v>57</v>
      </c>
      <c r="F5" s="4" t="s">
        <v>19</v>
      </c>
      <c r="G5" s="2">
        <v>19286733.93</v>
      </c>
    </row>
    <row r="6" spans="1:7" x14ac:dyDescent="0.25">
      <c r="A6" s="4" t="s">
        <v>60</v>
      </c>
      <c r="B6" s="2">
        <v>7488100.509999997</v>
      </c>
      <c r="C6" s="2">
        <v>677764.59999999753</v>
      </c>
      <c r="F6" s="4" t="s">
        <v>59</v>
      </c>
      <c r="G6" s="2">
        <v>70329940.709999979</v>
      </c>
    </row>
    <row r="7" spans="1:7" x14ac:dyDescent="0.25">
      <c r="A7" s="4" t="s">
        <v>61</v>
      </c>
      <c r="B7" s="2">
        <v>5627477.4499999974</v>
      </c>
      <c r="C7" s="2">
        <v>478053.07999999874</v>
      </c>
    </row>
    <row r="8" spans="1:7" x14ac:dyDescent="0.25">
      <c r="A8" s="4" t="s">
        <v>62</v>
      </c>
      <c r="B8" s="2">
        <v>6008259.4099999983</v>
      </c>
      <c r="C8" s="2">
        <v>528631.80999999668</v>
      </c>
    </row>
    <row r="9" spans="1:7" x14ac:dyDescent="0.25">
      <c r="A9" s="4" t="s">
        <v>63</v>
      </c>
      <c r="B9" s="2">
        <v>5468497.6199999992</v>
      </c>
      <c r="C9" s="2">
        <v>496006.81999999873</v>
      </c>
      <c r="F9" s="3" t="s">
        <v>58</v>
      </c>
      <c r="G9" s="2" t="s">
        <v>57</v>
      </c>
    </row>
    <row r="10" spans="1:7" x14ac:dyDescent="0.25">
      <c r="A10" s="4" t="s">
        <v>64</v>
      </c>
      <c r="B10" s="2">
        <v>5800626.5099999988</v>
      </c>
      <c r="C10" s="2">
        <v>489472.14999999793</v>
      </c>
      <c r="F10" s="4" t="s">
        <v>30</v>
      </c>
      <c r="G10" s="2">
        <v>1501749.7599999942</v>
      </c>
    </row>
    <row r="11" spans="1:7" x14ac:dyDescent="0.25">
      <c r="A11" s="4" t="s">
        <v>65</v>
      </c>
      <c r="B11" s="2">
        <v>6142561.2299999986</v>
      </c>
      <c r="C11" s="2">
        <v>605992.19999999763</v>
      </c>
      <c r="F11" s="4" t="s">
        <v>48</v>
      </c>
      <c r="G11" s="2">
        <v>1449081.8999999948</v>
      </c>
    </row>
    <row r="12" spans="1:7" x14ac:dyDescent="0.25">
      <c r="A12" s="4" t="s">
        <v>66</v>
      </c>
      <c r="B12" s="2">
        <v>4751432.4199999971</v>
      </c>
      <c r="C12" s="2">
        <v>447678.7599999982</v>
      </c>
      <c r="F12" s="4" t="s">
        <v>24</v>
      </c>
      <c r="G12" s="2">
        <v>1294822.0099999965</v>
      </c>
    </row>
    <row r="13" spans="1:7" x14ac:dyDescent="0.25">
      <c r="A13" s="4" t="s">
        <v>67</v>
      </c>
      <c r="B13" s="2">
        <v>6716190.6099999985</v>
      </c>
      <c r="C13" s="2">
        <v>558417.6899999989</v>
      </c>
      <c r="F13" s="4" t="s">
        <v>17</v>
      </c>
      <c r="G13" s="2">
        <v>1170800.2399999918</v>
      </c>
    </row>
    <row r="14" spans="1:7" x14ac:dyDescent="0.25">
      <c r="A14" s="4" t="s">
        <v>68</v>
      </c>
      <c r="B14" s="2">
        <v>4557015.5799999973</v>
      </c>
      <c r="C14" s="2">
        <v>472940.51999999781</v>
      </c>
      <c r="F14" s="4" t="s">
        <v>35</v>
      </c>
      <c r="G14" s="2">
        <v>1071393.1599999974</v>
      </c>
    </row>
    <row r="15" spans="1:7" x14ac:dyDescent="0.25">
      <c r="A15" s="4" t="s">
        <v>69</v>
      </c>
      <c r="B15" s="2">
        <v>6560606.3899999997</v>
      </c>
      <c r="C15" s="2">
        <v>584679.82999999868</v>
      </c>
      <c r="F15" s="4" t="s">
        <v>59</v>
      </c>
      <c r="G15" s="2">
        <v>6487847.0699999742</v>
      </c>
    </row>
    <row r="16" spans="1:7" x14ac:dyDescent="0.25">
      <c r="A16" s="4" t="s">
        <v>70</v>
      </c>
      <c r="B16" s="2">
        <v>4958930.1899999967</v>
      </c>
      <c r="C16" s="2">
        <v>557812.05999999796</v>
      </c>
      <c r="G16"/>
    </row>
    <row r="17" spans="1:8" x14ac:dyDescent="0.25">
      <c r="A17" s="4" t="s">
        <v>71</v>
      </c>
      <c r="B17" s="2">
        <v>6250242.7899999972</v>
      </c>
      <c r="C17" s="2">
        <v>590397.54999999725</v>
      </c>
      <c r="F17" t="s">
        <v>72</v>
      </c>
      <c r="G17"/>
      <c r="H17" t="s">
        <v>73</v>
      </c>
    </row>
    <row r="18" spans="1:8" x14ac:dyDescent="0.25">
      <c r="A18" s="4" t="s">
        <v>59</v>
      </c>
      <c r="B18" s="2">
        <v>70329940.709999964</v>
      </c>
      <c r="C18" s="2">
        <v>6487847.0699999752</v>
      </c>
      <c r="F18" s="2">
        <v>70329940.709999964</v>
      </c>
      <c r="G18"/>
      <c r="H18" s="2">
        <v>25355</v>
      </c>
    </row>
    <row r="19" spans="1:8" x14ac:dyDescent="0.25">
      <c r="G19"/>
    </row>
    <row r="20" spans="1:8" x14ac:dyDescent="0.25">
      <c r="B20" t="s">
        <v>75</v>
      </c>
      <c r="D20" t="s">
        <v>76</v>
      </c>
      <c r="G20"/>
    </row>
    <row r="21" spans="1:8" x14ac:dyDescent="0.25">
      <c r="B21" s="5">
        <v>9.2248720879093332E-2</v>
      </c>
      <c r="D21" s="2">
        <v>2773.8095330309588</v>
      </c>
      <c r="G21"/>
    </row>
    <row r="22" spans="1:8" x14ac:dyDescent="0.25">
      <c r="G22"/>
    </row>
    <row r="23" spans="1:8" x14ac:dyDescent="0.25">
      <c r="G23"/>
    </row>
    <row r="24" spans="1:8" x14ac:dyDescent="0.25">
      <c r="G24"/>
    </row>
    <row r="25" spans="1:8" x14ac:dyDescent="0.25">
      <c r="G25"/>
    </row>
    <row r="26" spans="1:8" x14ac:dyDescent="0.25">
      <c r="G26"/>
    </row>
    <row r="27" spans="1:8" x14ac:dyDescent="0.25">
      <c r="G27"/>
    </row>
    <row r="28" spans="1:8" x14ac:dyDescent="0.25">
      <c r="G28"/>
    </row>
    <row r="29" spans="1:8" x14ac:dyDescent="0.25">
      <c r="G29"/>
    </row>
    <row r="30" spans="1:8" x14ac:dyDescent="0.25">
      <c r="G30"/>
    </row>
    <row r="31" spans="1:8" x14ac:dyDescent="0.25">
      <c r="G31"/>
    </row>
    <row r="32" spans="1:8" x14ac:dyDescent="0.25">
      <c r="G32"/>
    </row>
    <row r="33" spans="7:7" x14ac:dyDescent="0.25">
      <c r="G33"/>
    </row>
    <row r="34" spans="7:7" x14ac:dyDescent="0.25">
      <c r="G34"/>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C76F-EAF0-46B5-A6CF-CC217D5E995C}">
  <dimension ref="U10:W18"/>
  <sheetViews>
    <sheetView showGridLines="0" zoomScale="76" zoomScaleNormal="55" workbookViewId="0">
      <selection activeCell="T33" sqref="T33"/>
    </sheetView>
  </sheetViews>
  <sheetFormatPr defaultRowHeight="15" x14ac:dyDescent="0.25"/>
  <cols>
    <col min="21" max="21" width="14" bestFit="1" customWidth="1"/>
  </cols>
  <sheetData>
    <row r="10" spans="21:21" x14ac:dyDescent="0.25">
      <c r="U10" s="2">
        <f>GETPIVOTDATA("Net_Profit",Calculations!$A$1)</f>
        <v>6487847.0699999696</v>
      </c>
    </row>
    <row r="12" spans="21:21" x14ac:dyDescent="0.25">
      <c r="U12" s="6">
        <f>GETPIVOTDATA("Profit_Margin",Calculations!$B$20)</f>
        <v>9.2248720879093332E-2</v>
      </c>
    </row>
    <row r="13" spans="21:21" x14ac:dyDescent="0.25">
      <c r="U13" s="2">
        <f>GETPIVOTDATA("Gross_Sales",Calculations!$F$17)</f>
        <v>70329940.709999964</v>
      </c>
    </row>
    <row r="16" spans="21:21" x14ac:dyDescent="0.25">
      <c r="U16" s="2">
        <f>GETPIVOTDATA("Avg_Order_Value",Calculations!$D$20)</f>
        <v>2773.8095330309588</v>
      </c>
    </row>
    <row r="18" spans="23:23" x14ac:dyDescent="0.25">
      <c r="W18" s="2">
        <f>GETPIVOTDATA("Quantity_Sold",Calculations!$H$17)</f>
        <v>25355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Rika Favour</cp:lastModifiedBy>
  <dcterms:created xsi:type="dcterms:W3CDTF">2026-04-09T18:35:32Z</dcterms:created>
  <dcterms:modified xsi:type="dcterms:W3CDTF">2026-06-18T14:52:26Z</dcterms:modified>
</cp:coreProperties>
</file>